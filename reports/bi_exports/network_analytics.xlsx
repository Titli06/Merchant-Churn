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etwork_health_monthly" sheetId="2" state="visible" r:id="rId4"/>
    <sheet name="cohort_retention" sheetId="3" state="visible" r:id="rId5"/>
    <sheet name="bank_month_sr" sheetId="4" state="visible" r:id="rId6"/>
    <sheet name="sr_contribution" sheetId="5" state="visible" r:id="rId7"/>
    <sheet name="revenue_at_risk" sheetId="6" state="visible" r:id="rId8"/>
    <sheet name="realised_failure_loss" sheetId="7" state="visible" r:id="rId9"/>
    <sheet name="incident_culprit_ranking" sheetId="8" state="visible" r:id="rId10"/>
    <sheet name="exposure_vs_churn" sheetId="9" state="visible" r:id="rId11"/>
    <sheet name="cohort_m3_retention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<sst xmlns="http://schemas.openxmlformats.org/spreadsheetml/2006/main" count="2148" uniqueCount="124">
  <si>
    <t xml:space="preserve">UPI Merchant Retention -- analytical marts</t>
  </si>
  <si>
    <t xml:space="preserve">Generated from data/warehouse.duckdb by src/export_for_bi.py. Do not edit sheet data by hand.</t>
  </si>
  <si>
    <t xml:space="preserve">Sheet</t>
  </si>
  <si>
    <t xml:space="preserve">Contents</t>
  </si>
  <si>
    <t xml:space="preserve">Rows</t>
  </si>
  <si>
    <t xml:space="preserve">network_health_monthly</t>
  </si>
  <si>
    <t xml:space="preserve">Monthly active merchants, TPV, success rate, merchant flows</t>
  </si>
  <si>
    <t xml:space="preserve">cohort_retention</t>
  </si>
  <si>
    <t xml:space="preserve">Cohort x month-index retention triangle (logo and TPV)</t>
  </si>
  <si>
    <t xml:space="preserve">bank_month_sr</t>
  </si>
  <si>
    <t xml:space="preserve">Issuer x month success rate and volume share</t>
  </si>
  <si>
    <t xml:space="preserve">sr_contribution</t>
  </si>
  <si>
    <t xml:space="preserve">Rate effect vs mix effect decomposition by issuer</t>
  </si>
  <si>
    <t xml:space="preserve">revenue_at_risk</t>
  </si>
  <si>
    <t xml:space="preserve">Run-rate revenue by merchant status</t>
  </si>
  <si>
    <t xml:space="preserve">realised_failure_loss</t>
  </si>
  <si>
    <t xml:space="preserve">Revenue lost to failed transactions, by month</t>
  </si>
  <si>
    <t xml:space="preserve">incident_culprit_ranking</t>
  </si>
  <si>
    <t xml:space="preserve">Issuers ranked by worst rate vs by network impact</t>
  </si>
  <si>
    <t xml:space="preserve">exposure_vs_churn</t>
  </si>
  <si>
    <t xml:space="preserve">Churn rate by issuer-exposure decile</t>
  </si>
  <si>
    <t xml:space="preserve">cohort_m3_retention</t>
  </si>
  <si>
    <t xml:space="preserve">Month-3 retention by cohort</t>
  </si>
  <si>
    <t xml:space="preserve">Headline metrics (live formulas)</t>
  </si>
  <si>
    <t xml:space="preserve">Total TPV (INR)</t>
  </si>
  <si>
    <t xml:space="preserve">Average success rate</t>
  </si>
  <si>
    <t xml:space="preserve">Lowest monthly success rate</t>
  </si>
  <si>
    <t xml:space="preserve">Peak active merchants</t>
  </si>
  <si>
    <t xml:space="preserve">Months below 92% success rate</t>
  </si>
  <si>
    <t xml:space="preserve">month</t>
  </si>
  <si>
    <t xml:space="preserve">active_merchants</t>
  </si>
  <si>
    <t xml:space="preserve">new_merchants</t>
  </si>
  <si>
    <t xml:space="preserve">reactivated_merchants</t>
  </si>
  <si>
    <t xml:space="preserve">went_silent_merchants</t>
  </si>
  <si>
    <t xml:space="preserve">churned_merchants</t>
  </si>
  <si>
    <t xml:space="preserve">tpv_inr</t>
  </si>
  <si>
    <t xml:space="preserve">success_rate</t>
  </si>
  <si>
    <t xml:space="preserve">failed_value_inr</t>
  </si>
  <si>
    <t xml:space="preserve">tickets_raised</t>
  </si>
  <si>
    <t xml:space="preserve">tpv_per_active_merchant</t>
  </si>
  <si>
    <t xml:space="preserve">merchant_mom_growth</t>
  </si>
  <si>
    <t xml:space="preserve">tpv_mom_growth</t>
  </si>
  <si>
    <t xml:space="preserve">net_merchant_adds</t>
  </si>
  <si>
    <t xml:space="preserve">is_censored_boundary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</si>
  <si>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</si>
  <si>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</si>
  <si>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</si>
  <si>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</si>
  <si>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</si>
  <si>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</si>
  <si>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</si>
  <si>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</si>
  <si>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</si>
  <si>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</si>
  <si>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</si>
  <si>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</si>
  <si>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</si>
  <si>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</si>
  <si>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</si>
  <si>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</si>
  <si>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</si>
  <si>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</si>
  <si>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</si>
  <si>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</si>
  <si>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</si>
  <si>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</si>
  <si>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</si>
  <si>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</si>
  <si>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cohort_month</t>
  </si>
  <si>
    <t xml:space="preserve">activity_month</t>
  </si>
  <si>
    <t xml:space="preserve">month_index</t>
  </si>
  <si>
    <t xml:space="preserve">cohort_size</t>
  </si>
  <si>
    <t xml:space="preserve">logo_retention</t>
  </si>
  <si>
    <t xml:space="preserve">tpv_retention</t>
  </si>
  <si>
    <t xml:space="preserve">issuer_bank</t>
  </si>
  <si>
    <t xml:space="preserve">attempted_txns</t>
  </si>
  <si>
    <t xml:space="preserve">successful_txns</t>
  </si>
  <si>
    <t xml:space="preserve">attempted_value_inr</t>
  </si>
  <si>
    <t xml:space="preserve">volume_share</t>
  </si>
  <si>
    <t xml:space="preserve">AU_SFB</t>
  </si>
  <si>
    <t xml:space="preserve">AXIS</t>
  </si>
  <si>
    <t xml:space="preserve">BOB</t>
  </si>
  <si>
    <t xml:space="preserve">CANARA</t>
  </si>
  <si>
    <t xml:space="preserve">HDFC</t>
  </si>
  <si>
    <t xml:space="preserve">ICICI</t>
  </si>
  <si>
    <t xml:space="preserve">IDFC</t>
  </si>
  <si>
    <t xml:space="preserve">KOTAK</t>
  </si>
  <si>
    <t xml:space="preserve">PAYTM_PB</t>
  </si>
  <si>
    <t xml:space="preserve">PNB</t>
  </si>
  <si>
    <t xml:space="preserve">RRB_GRAMIN</t>
  </si>
  <si>
    <t xml:space="preserve">SBI</t>
  </si>
  <si>
    <t xml:space="preserve">UNION</t>
  </si>
  <si>
    <t xml:space="preserve">YES</t>
  </si>
  <si>
    <t xml:space="preserve">sr_baseline</t>
  </si>
  <si>
    <t xml:space="preserve">share_baseline</t>
  </si>
  <si>
    <t xml:space="preserve">sr_delta</t>
  </si>
  <si>
    <t xml:space="preserve">rate_effect</t>
  </si>
  <si>
    <t xml:space="preserve">mix_effect</t>
  </si>
  <si>
    <t xml:space="preserve">status</t>
  </si>
  <si>
    <t xml:space="preserve">merchants</t>
  </si>
  <si>
    <t xml:space="preserve">monthly_tpv_at_risk</t>
  </si>
  <si>
    <t xml:space="preserve">annualised_revenue_at_risk</t>
  </si>
  <si>
    <t xml:space="preserve">avg_issuer_exposure</t>
  </si>
  <si>
    <t xml:space="preserve">attributable_revenue_at_risk</t>
  </si>
  <si>
    <t xml:space="preserve">active</t>
  </si>
  <si>
    <t xml:space="preserve">confirmed_churn</t>
  </si>
  <si>
    <t xml:space="preserve">at_risk</t>
  </si>
  <si>
    <t xml:space="preserve">revenue_lost_inr</t>
  </si>
  <si>
    <t xml:space="preserve">excess_revenue_lost_inr</t>
  </si>
  <si>
    <t xml:space="preserve">avg_success_rate</t>
  </si>
  <si>
    <t xml:space="preserve">avg_volume_share</t>
  </si>
  <si>
    <t xml:space="preserve">worst_sr_delta</t>
  </si>
  <si>
    <t xml:space="preserve">cumulative_rate_effect</t>
  </si>
  <si>
    <t xml:space="preserve">total_failed_value_inr</t>
  </si>
  <si>
    <t xml:space="preserve">rank_by_worst_sr</t>
  </si>
  <si>
    <t xml:space="preserve">rank_by_network_impact</t>
  </si>
  <si>
    <t xml:space="preserve">exposure_decile</t>
  </si>
  <si>
    <t xml:space="preserve">min_exposure</t>
  </si>
  <si>
    <t xml:space="preserve">max_exposure</t>
  </si>
  <si>
    <t xml:space="preserve">churn_rate</t>
  </si>
  <si>
    <t xml:space="preserve">tier3_share</t>
  </si>
  <si>
    <t xml:space="preserve">avg_sr_at_cutoff</t>
  </si>
  <si>
    <t xml:space="preserve">m3_logo_retention</t>
  </si>
  <si>
    <t xml:space="preserve">m3_tpv_retention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</si>
</sst>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n">
        <f aca="false">COUNTA(network_health_monthly!A:A)-3</f>
        <v>24</v>
      </c>
    </row>
    <row r="6" customFormat="false" ht="15" hidden="false" customHeight="false" outlineLevel="0" collapsed="false">
      <c r="A6" s="4" t="s">
        <v>7</v>
      </c>
      <c r="B6" s="4" t="s">
        <v>8</v>
      </c>
      <c r="C6" s="4" t="n">
        <f aca="false">COUNTA(cohort_retention!A:A)-3</f>
        <v>300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n">
        <f aca="false">COUNTA(bank_month_sr!A:A)-3</f>
        <v>336</v>
      </c>
    </row>
    <row r="8" customFormat="false" ht="15" hidden="false" customHeight="false" outlineLevel="0" collapsed="false">
      <c r="A8" s="4" t="s">
        <v>11</v>
      </c>
      <c r="B8" s="4" t="s">
        <v>12</v>
      </c>
      <c r="C8" s="4" t="n">
        <f aca="false">COUNTA(sr_contribution!A:A)-3</f>
        <v>336</v>
      </c>
    </row>
    <row r="9" customFormat="false" ht="15" hidden="false" customHeight="false" outlineLevel="0" collapsed="false">
      <c r="A9" s="4" t="s">
        <v>13</v>
      </c>
      <c r="B9" s="4" t="s">
        <v>14</v>
      </c>
      <c r="C9" s="4" t="n">
        <f aca="false">COUNTA(revenue_at_risk!A:A)-3</f>
        <v>3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4" t="n">
        <f aca="false">COUNTA(realised_failure_loss!A:A)-3</f>
        <v>24</v>
      </c>
    </row>
    <row r="11" customFormat="false" ht="15" hidden="false" customHeight="false" outlineLevel="0" collapsed="false">
      <c r="A11" s="4" t="s">
        <v>17</v>
      </c>
      <c r="B11" s="4" t="s">
        <v>18</v>
      </c>
      <c r="C11" s="4" t="n">
        <f aca="false">COUNTA(incident_culprit_ranking!A:A)-3</f>
        <v>14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4" t="n">
        <f aca="false">COUNTA(exposure_vs_churn!A:A)-3</f>
        <v>10</v>
      </c>
    </row>
    <row r="13" customFormat="false" ht="15" hidden="false" customHeight="false" outlineLevel="0" collapsed="false">
      <c r="A13" s="4" t="s">
        <v>21</v>
      </c>
      <c r="B13" s="4" t="s">
        <v>22</v>
      </c>
      <c r="C13" s="4" t="n">
        <f aca="false">COUNTA(cohort_m3_retention!A:A)-3</f>
        <v>21</v>
      </c>
    </row>
    <row r="15" customFormat="false" ht="15" hidden="false" customHeight="false" outlineLevel="0" collapsed="false">
      <c r="A15" s="1" t="s">
        <v>23</v>
      </c>
    </row>
    <row r="16" customFormat="false" ht="15" hidden="false" customHeight="false" outlineLevel="0" collapsed="false">
      <c r="A16" s="4" t="s">
        <v>24</v>
      </c>
      <c r="B16" s="5" t="n">
        <f aca="false">SUM(network_health_monthly!G4:G27)</f>
        <v>2360903854.88</v>
      </c>
    </row>
    <row r="17" customFormat="false" ht="15" hidden="false" customHeight="false" outlineLevel="0" collapsed="false">
      <c r="A17" s="4" t="s">
        <v>25</v>
      </c>
      <c r="B17" s="6" t="n">
        <f aca="false">AVERAGE(network_health_monthly!H4:H27)</f>
        <v>0.920856125</v>
      </c>
    </row>
    <row r="18" customFormat="false" ht="15" hidden="false" customHeight="false" outlineLevel="0" collapsed="false">
      <c r="A18" s="4" t="s">
        <v>26</v>
      </c>
      <c r="B18" s="6" t="n">
        <f aca="false">MIN(network_health_monthly!H4:H27)</f>
        <v>0.893817</v>
      </c>
    </row>
    <row r="19" customFormat="false" ht="15" hidden="false" customHeight="false" outlineLevel="0" collapsed="false">
      <c r="A19" s="4" t="s">
        <v>27</v>
      </c>
      <c r="B19" s="5" t="n">
        <f aca="false">MAX(network_health_monthly!B4:B27)</f>
        <v>4278</v>
      </c>
    </row>
    <row r="20" customFormat="false" ht="15" hidden="false" customHeight="false" outlineLevel="0" collapsed="false">
      <c r="A20" s="4" t="s">
        <v>28</v>
      </c>
      <c r="B20" s="5" t="n">
        <f aca="false">COUNTIF(network_health_monthly!H4:H27,"&lt;0.92")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23"/>
    <col collapsed="false" customWidth="true" hidden="false" outlineLevel="0" max="6" min="6" style="0" width="19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5"/>
    <col collapsed="false" customWidth="true" hidden="false" outlineLevel="0" max="12" min="12" style="0" width="21"/>
    <col collapsed="false" customWidth="true" hidden="false" outlineLevel="0" max="13" min="13" style="0" width="16"/>
    <col collapsed="false" customWidth="true" hidden="false" outlineLevel="0" max="14" min="14" style="0" width="19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5</v>
      </c>
    </row>
    <row r="2" customFormat="false" ht="15" hidden="false" customHeight="false" outlineLevel="0" collapsed="false">
      <c r="A2" s="2" t="s">
        <v>6</v>
      </c>
    </row>
    <row r="3" customFormat="false" ht="23.85" hidden="false" customHeight="false" outlineLevel="0" collapsed="false">
      <c r="A3" s="7" t="s">
        <v>29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41</v>
      </c>
      <c r="N3" s="7" t="s">
        <v>42</v>
      </c>
      <c r="O3" s="7" t="s">
        <v>43</v>
      </c>
    </row>
    <row r="4" customFormat="false" ht="15" hidden="false" customHeight="false" outlineLevel="0" collapsed="false">
      <c r="A4" s="4" t="s">
        <v>44</v>
      </c>
      <c r="B4" s="4" t="n">
        <v>3338</v>
      </c>
      <c r="C4" s="4" t="n">
        <v>3338</v>
      </c>
      <c r="D4" s="4" t="n">
        <v>0</v>
      </c>
      <c r="E4" s="4" t="n">
        <v>0</v>
      </c>
      <c r="F4" s="4" t="n">
        <v>0</v>
      </c>
      <c r="G4" s="4" t="n">
        <v>48377997.96</v>
      </c>
      <c r="H4" s="4" t="n">
        <v>0.929547</v>
      </c>
      <c r="I4" s="4" t="n">
        <v>4247095.84</v>
      </c>
      <c r="J4" s="4" t="n">
        <v>418</v>
      </c>
      <c r="K4" s="4" t="n">
        <v>14493.11</v>
      </c>
      <c r="L4" s="4"/>
      <c r="M4" s="4"/>
      <c r="N4" s="4" t="n">
        <v>3338</v>
      </c>
      <c r="O4" s="4" t="n">
        <v>1</v>
      </c>
    </row>
    <row r="5" customFormat="false" ht="15" hidden="false" customHeight="false" outlineLevel="0" collapsed="false">
      <c r="A5" s="4" t="s">
        <v>45</v>
      </c>
      <c r="B5" s="4" t="n">
        <v>3255</v>
      </c>
      <c r="C5" s="4" t="n">
        <v>174</v>
      </c>
      <c r="D5" s="4" t="n">
        <v>0</v>
      </c>
      <c r="E5" s="4" t="n">
        <v>257</v>
      </c>
      <c r="F5" s="4" t="n">
        <v>221</v>
      </c>
      <c r="G5" s="4" t="n">
        <v>61842456.13</v>
      </c>
      <c r="H5" s="4" t="n">
        <v>0.931171</v>
      </c>
      <c r="I5" s="4" t="n">
        <v>5006174.1</v>
      </c>
      <c r="J5" s="4" t="n">
        <v>378</v>
      </c>
      <c r="K5" s="4" t="n">
        <v>18999.22</v>
      </c>
      <c r="L5" s="4" t="n">
        <v>-0.024865</v>
      </c>
      <c r="M5" s="4" t="n">
        <v>0.278318</v>
      </c>
      <c r="N5" s="4" t="n">
        <v>-83</v>
      </c>
      <c r="O5" s="4" t="n">
        <v>0</v>
      </c>
    </row>
    <row r="6" customFormat="false" ht="15" hidden="false" customHeight="false" outlineLevel="0" collapsed="false">
      <c r="A6" s="4" t="s">
        <v>46</v>
      </c>
      <c r="B6" s="4" t="n">
        <v>3193</v>
      </c>
      <c r="C6" s="4" t="n">
        <v>134</v>
      </c>
      <c r="D6" s="4" t="n">
        <v>36</v>
      </c>
      <c r="E6" s="4" t="n">
        <v>232</v>
      </c>
      <c r="F6" s="4" t="n">
        <v>216</v>
      </c>
      <c r="G6" s="4" t="n">
        <v>87023375.18</v>
      </c>
      <c r="H6" s="4" t="n">
        <v>0.930093</v>
      </c>
      <c r="I6" s="4" t="n">
        <v>7077599.15</v>
      </c>
      <c r="J6" s="4" t="n">
        <v>381</v>
      </c>
      <c r="K6" s="4" t="n">
        <v>27254.42</v>
      </c>
      <c r="L6" s="4" t="n">
        <v>-0.019048</v>
      </c>
      <c r="M6" s="4" t="n">
        <v>0.407179</v>
      </c>
      <c r="N6" s="4" t="n">
        <v>-62</v>
      </c>
      <c r="O6" s="4" t="n">
        <v>0</v>
      </c>
    </row>
    <row r="7" customFormat="false" ht="15" hidden="false" customHeight="false" outlineLevel="0" collapsed="false">
      <c r="A7" s="4" t="s">
        <v>47</v>
      </c>
      <c r="B7" s="4" t="n">
        <v>3026</v>
      </c>
      <c r="C7" s="4" t="n">
        <v>137</v>
      </c>
      <c r="D7" s="4" t="n">
        <v>33</v>
      </c>
      <c r="E7" s="4" t="n">
        <v>337</v>
      </c>
      <c r="F7" s="4" t="n">
        <v>253</v>
      </c>
      <c r="G7" s="4" t="n">
        <v>89355201.16</v>
      </c>
      <c r="H7" s="4" t="n">
        <v>0.930136</v>
      </c>
      <c r="I7" s="4" t="n">
        <v>7309896.43</v>
      </c>
      <c r="J7" s="4" t="n">
        <v>375</v>
      </c>
      <c r="K7" s="4" t="n">
        <v>29529.15</v>
      </c>
      <c r="L7" s="4" t="n">
        <v>-0.052302</v>
      </c>
      <c r="M7" s="4" t="n">
        <v>0.026795</v>
      </c>
      <c r="N7" s="4" t="n">
        <v>-167</v>
      </c>
      <c r="O7" s="4" t="n">
        <v>0</v>
      </c>
    </row>
    <row r="8" customFormat="false" ht="15" hidden="false" customHeight="false" outlineLevel="0" collapsed="false">
      <c r="A8" s="4" t="s">
        <v>48</v>
      </c>
      <c r="B8" s="4" t="n">
        <v>3031</v>
      </c>
      <c r="C8" s="4" t="n">
        <v>143</v>
      </c>
      <c r="D8" s="4" t="n">
        <v>106</v>
      </c>
      <c r="E8" s="4" t="n">
        <v>244</v>
      </c>
      <c r="F8" s="4" t="n">
        <v>168</v>
      </c>
      <c r="G8" s="4" t="n">
        <v>88443745</v>
      </c>
      <c r="H8" s="4" t="n">
        <v>0.930156</v>
      </c>
      <c r="I8" s="4" t="n">
        <v>7373727.23</v>
      </c>
      <c r="J8" s="4" t="n">
        <v>375</v>
      </c>
      <c r="K8" s="4" t="n">
        <v>29179.72</v>
      </c>
      <c r="L8" s="4" t="n">
        <v>0.001652</v>
      </c>
      <c r="M8" s="4" t="n">
        <v>-0.0102</v>
      </c>
      <c r="N8" s="4" t="n">
        <v>5</v>
      </c>
      <c r="O8" s="4" t="n">
        <v>0</v>
      </c>
    </row>
    <row r="9" customFormat="false" ht="15" hidden="false" customHeight="false" outlineLevel="0" collapsed="false">
      <c r="A9" s="4" t="s">
        <v>49</v>
      </c>
      <c r="B9" s="4" t="n">
        <v>3102</v>
      </c>
      <c r="C9" s="4" t="n">
        <v>127</v>
      </c>
      <c r="D9" s="4" t="n">
        <v>186</v>
      </c>
      <c r="E9" s="4" t="n">
        <v>242</v>
      </c>
      <c r="F9" s="4" t="n">
        <v>178</v>
      </c>
      <c r="G9" s="4" t="n">
        <v>81841336.1</v>
      </c>
      <c r="H9" s="4" t="n">
        <v>0.93028</v>
      </c>
      <c r="I9" s="4" t="n">
        <v>6675394.48</v>
      </c>
      <c r="J9" s="4" t="n">
        <v>390</v>
      </c>
      <c r="K9" s="4" t="n">
        <v>26383.41</v>
      </c>
      <c r="L9" s="4" t="n">
        <v>0.023425</v>
      </c>
      <c r="M9" s="4" t="n">
        <v>-0.074651</v>
      </c>
      <c r="N9" s="4" t="n">
        <v>71</v>
      </c>
      <c r="O9" s="4" t="n">
        <v>0</v>
      </c>
    </row>
    <row r="10" customFormat="false" ht="15" hidden="false" customHeight="false" outlineLevel="0" collapsed="false">
      <c r="A10" s="4" t="s">
        <v>50</v>
      </c>
      <c r="B10" s="4" t="n">
        <v>3129</v>
      </c>
      <c r="C10" s="4" t="n">
        <v>127</v>
      </c>
      <c r="D10" s="4" t="n">
        <v>169</v>
      </c>
      <c r="E10" s="4" t="n">
        <v>269</v>
      </c>
      <c r="F10" s="4" t="n">
        <v>177</v>
      </c>
      <c r="G10" s="4" t="n">
        <v>82273438.3</v>
      </c>
      <c r="H10" s="4" t="n">
        <v>0.93037</v>
      </c>
      <c r="I10" s="4" t="n">
        <v>6682753.91</v>
      </c>
      <c r="J10" s="4" t="n">
        <v>414</v>
      </c>
      <c r="K10" s="4" t="n">
        <v>26293.84</v>
      </c>
      <c r="L10" s="4" t="n">
        <v>0.008704</v>
      </c>
      <c r="M10" s="4" t="n">
        <v>0.00528</v>
      </c>
      <c r="N10" s="4" t="n">
        <v>27</v>
      </c>
      <c r="O10" s="4" t="n">
        <v>0</v>
      </c>
    </row>
    <row r="11" customFormat="false" ht="15" hidden="false" customHeight="false" outlineLevel="0" collapsed="false">
      <c r="A11" s="4" t="s">
        <v>51</v>
      </c>
      <c r="B11" s="4" t="n">
        <v>3220</v>
      </c>
      <c r="C11" s="4" t="n">
        <v>128</v>
      </c>
      <c r="D11" s="4" t="n">
        <v>192</v>
      </c>
      <c r="E11" s="4" t="n">
        <v>229</v>
      </c>
      <c r="F11" s="4" t="n">
        <v>146</v>
      </c>
      <c r="G11" s="4" t="n">
        <v>96207275.45</v>
      </c>
      <c r="H11" s="4" t="n">
        <v>0.929465</v>
      </c>
      <c r="I11" s="4" t="n">
        <v>7871125.16</v>
      </c>
      <c r="J11" s="4" t="n">
        <v>414</v>
      </c>
      <c r="K11" s="4" t="n">
        <v>29878.04</v>
      </c>
      <c r="L11" s="4" t="n">
        <v>0.029083</v>
      </c>
      <c r="M11" s="4" t="n">
        <v>0.16936</v>
      </c>
      <c r="N11" s="4" t="n">
        <v>91</v>
      </c>
      <c r="O11" s="4" t="n">
        <v>0</v>
      </c>
    </row>
    <row r="12" customFormat="false" ht="15" hidden="false" customHeight="false" outlineLevel="0" collapsed="false">
      <c r="A12" s="4" t="s">
        <v>52</v>
      </c>
      <c r="B12" s="4" t="n">
        <v>3304</v>
      </c>
      <c r="C12" s="4" t="n">
        <v>121</v>
      </c>
      <c r="D12" s="4" t="n">
        <v>183</v>
      </c>
      <c r="E12" s="4" t="n">
        <v>220</v>
      </c>
      <c r="F12" s="4" t="n">
        <v>145</v>
      </c>
      <c r="G12" s="4" t="n">
        <v>94667189.58</v>
      </c>
      <c r="H12" s="4" t="n">
        <v>0.930503</v>
      </c>
      <c r="I12" s="4" t="n">
        <v>7952462.35</v>
      </c>
      <c r="J12" s="4" t="n">
        <v>442</v>
      </c>
      <c r="K12" s="4" t="n">
        <v>28652.3</v>
      </c>
      <c r="L12" s="4" t="n">
        <v>0.026087</v>
      </c>
      <c r="M12" s="4" t="n">
        <v>-0.016008</v>
      </c>
      <c r="N12" s="4" t="n">
        <v>84</v>
      </c>
      <c r="O12" s="4" t="n">
        <v>0</v>
      </c>
    </row>
    <row r="13" customFormat="false" ht="15" hidden="false" customHeight="false" outlineLevel="0" collapsed="false">
      <c r="A13" s="4" t="s">
        <v>53</v>
      </c>
      <c r="B13" s="4" t="n">
        <v>3388</v>
      </c>
      <c r="C13" s="4" t="n">
        <v>127</v>
      </c>
      <c r="D13" s="4" t="n">
        <v>174</v>
      </c>
      <c r="E13" s="4" t="n">
        <v>217</v>
      </c>
      <c r="F13" s="4" t="n">
        <v>137</v>
      </c>
      <c r="G13" s="4" t="n">
        <v>94736932.52</v>
      </c>
      <c r="H13" s="4" t="n">
        <v>0.930002</v>
      </c>
      <c r="I13" s="4" t="n">
        <v>7640805.54</v>
      </c>
      <c r="J13" s="4" t="n">
        <v>442</v>
      </c>
      <c r="K13" s="4" t="n">
        <v>27962.49</v>
      </c>
      <c r="L13" s="4" t="n">
        <v>0.025424</v>
      </c>
      <c r="M13" s="4" t="n">
        <v>0.000737</v>
      </c>
      <c r="N13" s="4" t="n">
        <v>84</v>
      </c>
      <c r="O13" s="4" t="n">
        <v>0</v>
      </c>
    </row>
    <row r="14" customFormat="false" ht="15" hidden="false" customHeight="false" outlineLevel="0" collapsed="false">
      <c r="A14" s="4" t="s">
        <v>54</v>
      </c>
      <c r="B14" s="4" t="n">
        <v>3482</v>
      </c>
      <c r="C14" s="4" t="n">
        <v>136</v>
      </c>
      <c r="D14" s="4" t="n">
        <v>197</v>
      </c>
      <c r="E14" s="4" t="n">
        <v>239</v>
      </c>
      <c r="F14" s="4" t="n">
        <v>148</v>
      </c>
      <c r="G14" s="4" t="n">
        <v>90291084.61</v>
      </c>
      <c r="H14" s="4" t="n">
        <v>0.930474</v>
      </c>
      <c r="I14" s="4" t="n">
        <v>7545367.2</v>
      </c>
      <c r="J14" s="4" t="n">
        <v>445</v>
      </c>
      <c r="K14" s="4" t="n">
        <v>25930.81</v>
      </c>
      <c r="L14" s="4" t="n">
        <v>0.027745</v>
      </c>
      <c r="M14" s="4" t="n">
        <v>-0.046928</v>
      </c>
      <c r="N14" s="4" t="n">
        <v>94</v>
      </c>
      <c r="O14" s="4" t="n">
        <v>0</v>
      </c>
    </row>
    <row r="15" customFormat="false" ht="15" hidden="false" customHeight="false" outlineLevel="0" collapsed="false">
      <c r="A15" s="4" t="s">
        <v>55</v>
      </c>
      <c r="B15" s="4" t="n">
        <v>3553</v>
      </c>
      <c r="C15" s="4" t="n">
        <v>127</v>
      </c>
      <c r="D15" s="4" t="n">
        <v>208</v>
      </c>
      <c r="E15" s="4" t="n">
        <v>264</v>
      </c>
      <c r="F15" s="4" t="n">
        <v>157</v>
      </c>
      <c r="G15" s="4" t="n">
        <v>91147551.63</v>
      </c>
      <c r="H15" s="4" t="n">
        <v>0.929409</v>
      </c>
      <c r="I15" s="4" t="n">
        <v>7470941.45</v>
      </c>
      <c r="J15" s="4" t="n">
        <v>503</v>
      </c>
      <c r="K15" s="4" t="n">
        <v>25653.69</v>
      </c>
      <c r="L15" s="4" t="n">
        <v>0.020391</v>
      </c>
      <c r="M15" s="4" t="n">
        <v>0.009486</v>
      </c>
      <c r="N15" s="4" t="n">
        <v>71</v>
      </c>
      <c r="O15" s="4" t="n">
        <v>0</v>
      </c>
    </row>
    <row r="16" customFormat="false" ht="15" hidden="false" customHeight="false" outlineLevel="0" collapsed="false">
      <c r="A16" s="4" t="s">
        <v>56</v>
      </c>
      <c r="B16" s="4" t="n">
        <v>3687</v>
      </c>
      <c r="C16" s="4" t="n">
        <v>118</v>
      </c>
      <c r="D16" s="4" t="n">
        <v>227</v>
      </c>
      <c r="E16" s="4" t="n">
        <v>211</v>
      </c>
      <c r="F16" s="4" t="n">
        <v>147</v>
      </c>
      <c r="G16" s="4" t="n">
        <v>96315707.56</v>
      </c>
      <c r="H16" s="4" t="n">
        <v>0.911883</v>
      </c>
      <c r="I16" s="4" t="n">
        <v>10121165.5</v>
      </c>
      <c r="J16" s="4" t="n">
        <v>478</v>
      </c>
      <c r="K16" s="4" t="n">
        <v>26123.06</v>
      </c>
      <c r="L16" s="4" t="n">
        <v>0.037715</v>
      </c>
      <c r="M16" s="4" t="n">
        <v>0.056701</v>
      </c>
      <c r="N16" s="4" t="n">
        <v>134</v>
      </c>
      <c r="O16" s="4" t="n">
        <v>0</v>
      </c>
    </row>
    <row r="17" customFormat="false" ht="15" hidden="false" customHeight="false" outlineLevel="0" collapsed="false">
      <c r="A17" s="4" t="s">
        <v>57</v>
      </c>
      <c r="B17" s="4" t="n">
        <v>3753</v>
      </c>
      <c r="C17" s="4" t="n">
        <v>109</v>
      </c>
      <c r="D17" s="4" t="n">
        <v>201</v>
      </c>
      <c r="E17" s="4" t="n">
        <v>244</v>
      </c>
      <c r="F17" s="4" t="n">
        <v>171</v>
      </c>
      <c r="G17" s="4" t="n">
        <v>105919910.78</v>
      </c>
      <c r="H17" s="4" t="n">
        <v>0.894517</v>
      </c>
      <c r="I17" s="4" t="n">
        <v>13093240.8</v>
      </c>
      <c r="J17" s="4" t="n">
        <v>615</v>
      </c>
      <c r="K17" s="4" t="n">
        <v>28222.73</v>
      </c>
      <c r="L17" s="4" t="n">
        <v>0.017901</v>
      </c>
      <c r="M17" s="4" t="n">
        <v>0.099716</v>
      </c>
      <c r="N17" s="4" t="n">
        <v>66</v>
      </c>
      <c r="O17" s="4" t="n">
        <v>0</v>
      </c>
    </row>
    <row r="18" customFormat="false" ht="15" hidden="false" customHeight="false" outlineLevel="0" collapsed="false">
      <c r="A18" s="4" t="s">
        <v>58</v>
      </c>
      <c r="B18" s="4" t="n">
        <v>3782</v>
      </c>
      <c r="C18" s="4" t="n">
        <v>108</v>
      </c>
      <c r="D18" s="4" t="n">
        <v>202</v>
      </c>
      <c r="E18" s="4" t="n">
        <v>281</v>
      </c>
      <c r="F18" s="4" t="n">
        <v>202</v>
      </c>
      <c r="G18" s="4" t="n">
        <v>126719156.64</v>
      </c>
      <c r="H18" s="4" t="n">
        <v>0.894193</v>
      </c>
      <c r="I18" s="4" t="n">
        <v>16286691.9</v>
      </c>
      <c r="J18" s="4" t="n">
        <v>715</v>
      </c>
      <c r="K18" s="4" t="n">
        <v>33505.86</v>
      </c>
      <c r="L18" s="4" t="n">
        <v>0.007727</v>
      </c>
      <c r="M18" s="4" t="n">
        <v>0.196368</v>
      </c>
      <c r="N18" s="4" t="n">
        <v>29</v>
      </c>
      <c r="O18" s="4" t="n">
        <v>0</v>
      </c>
    </row>
    <row r="19" customFormat="false" ht="15" hidden="false" customHeight="false" outlineLevel="0" collapsed="false">
      <c r="A19" s="4" t="s">
        <v>59</v>
      </c>
      <c r="B19" s="4" t="n">
        <v>3832</v>
      </c>
      <c r="C19" s="4" t="n">
        <v>123</v>
      </c>
      <c r="D19" s="4" t="n">
        <v>207</v>
      </c>
      <c r="E19" s="4" t="n">
        <v>280</v>
      </c>
      <c r="F19" s="4" t="n">
        <v>216</v>
      </c>
      <c r="G19" s="4" t="n">
        <v>123355428.18</v>
      </c>
      <c r="H19" s="4" t="n">
        <v>0.893817</v>
      </c>
      <c r="I19" s="4" t="n">
        <v>15675479.61</v>
      </c>
      <c r="J19" s="4" t="n">
        <v>664</v>
      </c>
      <c r="K19" s="4" t="n">
        <v>32190.87</v>
      </c>
      <c r="L19" s="4" t="n">
        <v>0.013221</v>
      </c>
      <c r="M19" s="4" t="n">
        <v>-0.026545</v>
      </c>
      <c r="N19" s="4" t="n">
        <v>50</v>
      </c>
      <c r="O19" s="4" t="n">
        <v>0</v>
      </c>
    </row>
    <row r="20" customFormat="false" ht="15" hidden="false" customHeight="false" outlineLevel="0" collapsed="false">
      <c r="A20" s="4" t="s">
        <v>60</v>
      </c>
      <c r="B20" s="4" t="n">
        <v>3864</v>
      </c>
      <c r="C20" s="4" t="n">
        <v>108</v>
      </c>
      <c r="D20" s="4" t="n">
        <v>209</v>
      </c>
      <c r="E20" s="4" t="n">
        <v>285</v>
      </c>
      <c r="F20" s="4" t="n">
        <v>206</v>
      </c>
      <c r="G20" s="4" t="n">
        <v>110906319.96</v>
      </c>
      <c r="H20" s="4" t="n">
        <v>0.894311</v>
      </c>
      <c r="I20" s="4" t="n">
        <v>13695737.69</v>
      </c>
      <c r="J20" s="4" t="n">
        <v>722</v>
      </c>
      <c r="K20" s="4" t="n">
        <v>28702.46</v>
      </c>
      <c r="L20" s="4" t="n">
        <v>0.008351</v>
      </c>
      <c r="M20" s="4" t="n">
        <v>-0.100921</v>
      </c>
      <c r="N20" s="4" t="n">
        <v>32</v>
      </c>
      <c r="O20" s="4" t="n">
        <v>0</v>
      </c>
    </row>
    <row r="21" customFormat="false" ht="15" hidden="false" customHeight="false" outlineLevel="0" collapsed="false">
      <c r="A21" s="4" t="s">
        <v>61</v>
      </c>
      <c r="B21" s="4" t="n">
        <v>3930</v>
      </c>
      <c r="C21" s="4" t="n">
        <v>143</v>
      </c>
      <c r="D21" s="4" t="n">
        <v>216</v>
      </c>
      <c r="E21" s="4" t="n">
        <v>293</v>
      </c>
      <c r="F21" s="4" t="n">
        <v>198</v>
      </c>
      <c r="G21" s="4" t="n">
        <v>102847917.59</v>
      </c>
      <c r="H21" s="4" t="n">
        <v>0.895094</v>
      </c>
      <c r="I21" s="4" t="n">
        <v>13095799.36</v>
      </c>
      <c r="J21" s="4" t="n">
        <v>751</v>
      </c>
      <c r="K21" s="4" t="n">
        <v>26169.95</v>
      </c>
      <c r="L21" s="4" t="n">
        <v>0.017081</v>
      </c>
      <c r="M21" s="4" t="n">
        <v>-0.07266</v>
      </c>
      <c r="N21" s="4" t="n">
        <v>66</v>
      </c>
      <c r="O21" s="4" t="n">
        <v>0</v>
      </c>
    </row>
    <row r="22" customFormat="false" ht="15" hidden="false" customHeight="false" outlineLevel="0" collapsed="false">
      <c r="A22" s="4" t="s">
        <v>62</v>
      </c>
      <c r="B22" s="4" t="n">
        <v>3991</v>
      </c>
      <c r="C22" s="4" t="n">
        <v>126</v>
      </c>
      <c r="D22" s="4" t="n">
        <v>249</v>
      </c>
      <c r="E22" s="4" t="n">
        <v>314</v>
      </c>
      <c r="F22" s="4" t="n">
        <v>219</v>
      </c>
      <c r="G22" s="4" t="n">
        <v>103582595.72</v>
      </c>
      <c r="H22" s="4" t="n">
        <v>0.911483</v>
      </c>
      <c r="I22" s="4" t="n">
        <v>10755197.55</v>
      </c>
      <c r="J22" s="4" t="n">
        <v>697</v>
      </c>
      <c r="K22" s="4" t="n">
        <v>25954.05</v>
      </c>
      <c r="L22" s="4" t="n">
        <v>0.015522</v>
      </c>
      <c r="M22" s="4" t="n">
        <v>0.007143</v>
      </c>
      <c r="N22" s="4" t="n">
        <v>61</v>
      </c>
      <c r="O22" s="4" t="n">
        <v>0</v>
      </c>
    </row>
    <row r="23" customFormat="false" ht="15" hidden="false" customHeight="false" outlineLevel="0" collapsed="false">
      <c r="A23" s="4" t="s">
        <v>63</v>
      </c>
      <c r="B23" s="4" t="n">
        <v>4088</v>
      </c>
      <c r="C23" s="4" t="n">
        <v>108</v>
      </c>
      <c r="D23" s="4" t="n">
        <v>231</v>
      </c>
      <c r="E23" s="4" t="n">
        <v>242</v>
      </c>
      <c r="F23" s="4" t="n">
        <v>153</v>
      </c>
      <c r="G23" s="4" t="n">
        <v>122857177.04</v>
      </c>
      <c r="H23" s="4" t="n">
        <v>0.929242</v>
      </c>
      <c r="I23" s="4" t="n">
        <v>10313170.19</v>
      </c>
      <c r="J23" s="4" t="n">
        <v>597</v>
      </c>
      <c r="K23" s="4" t="n">
        <v>30053.13</v>
      </c>
      <c r="L23" s="4" t="n">
        <v>0.024305</v>
      </c>
      <c r="M23" s="4" t="n">
        <v>0.186079</v>
      </c>
      <c r="N23" s="4" t="n">
        <v>97</v>
      </c>
      <c r="O23" s="4" t="n">
        <v>0</v>
      </c>
    </row>
    <row r="24" customFormat="false" ht="15" hidden="false" customHeight="false" outlineLevel="0" collapsed="false">
      <c r="A24" s="4" t="s">
        <v>64</v>
      </c>
      <c r="B24" s="4" t="n">
        <v>4189</v>
      </c>
      <c r="C24" s="4" t="n">
        <v>109</v>
      </c>
      <c r="D24" s="4" t="n">
        <v>247</v>
      </c>
      <c r="E24" s="4" t="n">
        <v>255</v>
      </c>
      <c r="F24" s="4" t="n">
        <v>164</v>
      </c>
      <c r="G24" s="4" t="n">
        <v>117716971.85</v>
      </c>
      <c r="H24" s="4" t="n">
        <v>0.929125</v>
      </c>
      <c r="I24" s="4" t="n">
        <v>9900677.01</v>
      </c>
      <c r="J24" s="4" t="n">
        <v>565</v>
      </c>
      <c r="K24" s="4" t="n">
        <v>28101.45</v>
      </c>
      <c r="L24" s="4" t="n">
        <v>0.024706</v>
      </c>
      <c r="M24" s="4" t="n">
        <v>-0.041839</v>
      </c>
      <c r="N24" s="4" t="n">
        <v>101</v>
      </c>
      <c r="O24" s="4" t="n">
        <v>0</v>
      </c>
    </row>
    <row r="25" customFormat="false" ht="15" hidden="false" customHeight="false" outlineLevel="0" collapsed="false">
      <c r="A25" s="4" t="s">
        <v>65</v>
      </c>
      <c r="B25" s="4" t="n">
        <v>4278</v>
      </c>
      <c r="C25" s="4" t="n">
        <v>120</v>
      </c>
      <c r="D25" s="4" t="n">
        <v>238</v>
      </c>
      <c r="E25" s="4" t="n">
        <v>269</v>
      </c>
      <c r="F25" s="4" t="n">
        <v>178</v>
      </c>
      <c r="G25" s="4" t="n">
        <v>120289274.18</v>
      </c>
      <c r="H25" s="4" t="n">
        <v>0.929028</v>
      </c>
      <c r="I25" s="4" t="n">
        <v>9908649.86</v>
      </c>
      <c r="J25" s="4" t="n">
        <v>576</v>
      </c>
      <c r="K25" s="4" t="n">
        <v>28118.11</v>
      </c>
      <c r="L25" s="4" t="n">
        <v>0.021246</v>
      </c>
      <c r="M25" s="4" t="n">
        <v>0.021852</v>
      </c>
      <c r="N25" s="4" t="n">
        <v>89</v>
      </c>
      <c r="O25" s="4" t="n">
        <v>0</v>
      </c>
    </row>
    <row r="26" customFormat="false" ht="15" hidden="false" customHeight="false" outlineLevel="0" collapsed="false">
      <c r="A26" s="4" t="s">
        <v>66</v>
      </c>
      <c r="B26" s="4" t="n">
        <v>4249</v>
      </c>
      <c r="C26" s="4" t="n">
        <v>3</v>
      </c>
      <c r="D26" s="4" t="n">
        <v>243</v>
      </c>
      <c r="E26" s="4" t="n">
        <v>275</v>
      </c>
      <c r="F26" s="4" t="n">
        <v>165</v>
      </c>
      <c r="G26" s="4" t="n">
        <v>112747653.81</v>
      </c>
      <c r="H26" s="4" t="n">
        <v>0.927942</v>
      </c>
      <c r="I26" s="4" t="n">
        <v>9622151.33</v>
      </c>
      <c r="J26" s="4" t="n">
        <v>547</v>
      </c>
      <c r="K26" s="4" t="n">
        <v>26535.1</v>
      </c>
      <c r="L26" s="4" t="n">
        <v>-0.006779</v>
      </c>
      <c r="M26" s="4" t="n">
        <v>-0.062696</v>
      </c>
      <c r="N26" s="4" t="n">
        <v>-29</v>
      </c>
      <c r="O26" s="4" t="n">
        <v>0</v>
      </c>
    </row>
    <row r="27" customFormat="false" ht="15" hidden="false" customHeight="false" outlineLevel="0" collapsed="false">
      <c r="A27" s="4" t="s">
        <v>67</v>
      </c>
      <c r="B27" s="4" t="n">
        <v>4270</v>
      </c>
      <c r="C27" s="4" t="n">
        <v>2</v>
      </c>
      <c r="D27" s="4" t="n">
        <v>290</v>
      </c>
      <c r="E27" s="4" t="n">
        <v>271</v>
      </c>
      <c r="F27" s="4" t="n">
        <v>0</v>
      </c>
      <c r="G27" s="4" t="n">
        <v>111438157.95</v>
      </c>
      <c r="H27" s="4" t="n">
        <v>0.928306</v>
      </c>
      <c r="I27" s="4" t="n">
        <v>9392415.26</v>
      </c>
      <c r="J27" s="4" t="n">
        <v>572</v>
      </c>
      <c r="K27" s="4" t="n">
        <v>26097.93</v>
      </c>
      <c r="L27" s="4" t="n">
        <v>0.004942</v>
      </c>
      <c r="M27" s="4" t="n">
        <v>-0.011614</v>
      </c>
      <c r="N27" s="4" t="n">
        <v>21</v>
      </c>
      <c r="O27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8</v>
      </c>
    </row>
    <row r="3" customFormat="false" ht="15" hidden="false" customHeight="false" outlineLevel="0" collapsed="false">
      <c r="A3" s="7" t="s">
        <v>68</v>
      </c>
      <c r="B3" s="7" t="s">
        <v>69</v>
      </c>
      <c r="C3" s="7" t="s">
        <v>70</v>
      </c>
      <c r="D3" s="7" t="s">
        <v>71</v>
      </c>
      <c r="E3" s="7" t="s">
        <v>30</v>
      </c>
      <c r="F3" s="7" t="s">
        <v>72</v>
      </c>
      <c r="G3" s="7" t="s">
        <v>35</v>
      </c>
      <c r="H3" s="7" t="s">
        <v>73</v>
      </c>
    </row>
    <row r="4" customFormat="false" ht="15" hidden="false" customHeight="false" outlineLevel="0" collapsed="false">
      <c r="A4" s="4" t="s">
        <v>44</v>
      </c>
      <c r="B4" s="4" t="s">
        <v>44</v>
      </c>
      <c r="C4" s="4" t="n">
        <v>0</v>
      </c>
      <c r="D4" s="4" t="n">
        <v>3338</v>
      </c>
      <c r="E4" s="4" t="n">
        <v>3338</v>
      </c>
      <c r="F4" s="4" t="n">
        <v>1</v>
      </c>
      <c r="G4" s="4" t="n">
        <v>48377997.96</v>
      </c>
      <c r="H4" s="4" t="n">
        <v>1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 t="n">
        <v>1</v>
      </c>
      <c r="D5" s="4" t="n">
        <v>3338</v>
      </c>
      <c r="E5" s="4" t="n">
        <v>3081</v>
      </c>
      <c r="F5" s="4" t="n">
        <v>0.923</v>
      </c>
      <c r="G5" s="4" t="n">
        <v>60076347.98</v>
      </c>
      <c r="H5" s="4" t="n">
        <v>1.2418</v>
      </c>
    </row>
    <row r="6" customFormat="false" ht="15" hidden="false" customHeight="false" outlineLevel="0" collapsed="false">
      <c r="A6" s="4" t="s">
        <v>44</v>
      </c>
      <c r="B6" s="4" t="s">
        <v>46</v>
      </c>
      <c r="C6" s="4" t="n">
        <v>2</v>
      </c>
      <c r="D6" s="4" t="n">
        <v>3338</v>
      </c>
      <c r="E6" s="4" t="n">
        <v>2906</v>
      </c>
      <c r="F6" s="4" t="n">
        <v>0.8706</v>
      </c>
      <c r="G6" s="4" t="n">
        <v>81843175.95</v>
      </c>
      <c r="H6" s="4" t="n">
        <v>1.6917</v>
      </c>
    </row>
    <row r="7" customFormat="false" ht="15" hidden="false" customHeight="false" outlineLevel="0" collapsed="false">
      <c r="A7" s="4" t="s">
        <v>44</v>
      </c>
      <c r="B7" s="4" t="s">
        <v>47</v>
      </c>
      <c r="C7" s="4" t="n">
        <v>3</v>
      </c>
      <c r="D7" s="4" t="n">
        <v>3338</v>
      </c>
      <c r="E7" s="4" t="n">
        <v>2640</v>
      </c>
      <c r="F7" s="4" t="n">
        <v>0.7909</v>
      </c>
      <c r="G7" s="4" t="n">
        <v>81214074.02</v>
      </c>
      <c r="H7" s="4" t="n">
        <v>1.6787</v>
      </c>
    </row>
    <row r="8" customFormat="false" ht="15" hidden="false" customHeight="false" outlineLevel="0" collapsed="false">
      <c r="A8" s="4" t="s">
        <v>44</v>
      </c>
      <c r="B8" s="4" t="s">
        <v>48</v>
      </c>
      <c r="C8" s="4" t="n">
        <v>4</v>
      </c>
      <c r="D8" s="4" t="n">
        <v>3338</v>
      </c>
      <c r="E8" s="4" t="n">
        <v>2525</v>
      </c>
      <c r="F8" s="4" t="n">
        <v>0.7564</v>
      </c>
      <c r="G8" s="4" t="n">
        <v>77697189.3</v>
      </c>
      <c r="H8" s="4" t="n">
        <v>1.606</v>
      </c>
    </row>
    <row r="9" customFormat="false" ht="15" hidden="false" customHeight="false" outlineLevel="0" collapsed="false">
      <c r="A9" s="4" t="s">
        <v>44</v>
      </c>
      <c r="B9" s="4" t="s">
        <v>49</v>
      </c>
      <c r="C9" s="4" t="n">
        <v>5</v>
      </c>
      <c r="D9" s="4" t="n">
        <v>3338</v>
      </c>
      <c r="E9" s="4" t="n">
        <v>2509</v>
      </c>
      <c r="F9" s="4" t="n">
        <v>0.7516</v>
      </c>
      <c r="G9" s="4" t="n">
        <v>69401462.4</v>
      </c>
      <c r="H9" s="4" t="n">
        <v>1.4346</v>
      </c>
    </row>
    <row r="10" customFormat="false" ht="15" hidden="false" customHeight="false" outlineLevel="0" collapsed="false">
      <c r="A10" s="4" t="s">
        <v>44</v>
      </c>
      <c r="B10" s="4" t="s">
        <v>50</v>
      </c>
      <c r="C10" s="4" t="n">
        <v>6</v>
      </c>
      <c r="D10" s="4" t="n">
        <v>3338</v>
      </c>
      <c r="E10" s="4" t="n">
        <v>2462</v>
      </c>
      <c r="F10" s="4" t="n">
        <v>0.7376</v>
      </c>
      <c r="G10" s="4" t="n">
        <v>67713256.55</v>
      </c>
      <c r="H10" s="4" t="n">
        <v>1.3997</v>
      </c>
    </row>
    <row r="11" customFormat="false" ht="15" hidden="false" customHeight="false" outlineLevel="0" collapsed="false">
      <c r="A11" s="4" t="s">
        <v>44</v>
      </c>
      <c r="B11" s="4" t="s">
        <v>51</v>
      </c>
      <c r="C11" s="4" t="n">
        <v>7</v>
      </c>
      <c r="D11" s="4" t="n">
        <v>3338</v>
      </c>
      <c r="E11" s="4" t="n">
        <v>2453</v>
      </c>
      <c r="F11" s="4" t="n">
        <v>0.7349</v>
      </c>
      <c r="G11" s="4" t="n">
        <v>76632124.9</v>
      </c>
      <c r="H11" s="4" t="n">
        <v>1.584</v>
      </c>
    </row>
    <row r="12" customFormat="false" ht="15" hidden="false" customHeight="false" outlineLevel="0" collapsed="false">
      <c r="A12" s="4" t="s">
        <v>44</v>
      </c>
      <c r="B12" s="4" t="s">
        <v>52</v>
      </c>
      <c r="C12" s="4" t="n">
        <v>8</v>
      </c>
      <c r="D12" s="4" t="n">
        <v>3338</v>
      </c>
      <c r="E12" s="4" t="n">
        <v>2451</v>
      </c>
      <c r="F12" s="4" t="n">
        <v>0.7343</v>
      </c>
      <c r="G12" s="4" t="n">
        <v>73615780.97</v>
      </c>
      <c r="H12" s="4" t="n">
        <v>1.5217</v>
      </c>
    </row>
    <row r="13" customFormat="false" ht="15" hidden="false" customHeight="false" outlineLevel="0" collapsed="false">
      <c r="A13" s="4" t="s">
        <v>44</v>
      </c>
      <c r="B13" s="4" t="s">
        <v>53</v>
      </c>
      <c r="C13" s="4" t="n">
        <v>9</v>
      </c>
      <c r="D13" s="4" t="n">
        <v>3338</v>
      </c>
      <c r="E13" s="4" t="n">
        <v>2431</v>
      </c>
      <c r="F13" s="4" t="n">
        <v>0.7283</v>
      </c>
      <c r="G13" s="4" t="n">
        <v>71955060.64</v>
      </c>
      <c r="H13" s="4" t="n">
        <v>1.4874</v>
      </c>
    </row>
    <row r="14" customFormat="false" ht="15" hidden="false" customHeight="false" outlineLevel="0" collapsed="false">
      <c r="A14" s="4" t="s">
        <v>44</v>
      </c>
      <c r="B14" s="4" t="s">
        <v>54</v>
      </c>
      <c r="C14" s="4" t="n">
        <v>10</v>
      </c>
      <c r="D14" s="4" t="n">
        <v>3338</v>
      </c>
      <c r="E14" s="4" t="n">
        <v>2429</v>
      </c>
      <c r="F14" s="4" t="n">
        <v>0.7277</v>
      </c>
      <c r="G14" s="4" t="n">
        <v>66491648.92</v>
      </c>
      <c r="H14" s="4" t="n">
        <v>1.3744</v>
      </c>
    </row>
    <row r="15" customFormat="false" ht="15" hidden="false" customHeight="false" outlineLevel="0" collapsed="false">
      <c r="A15" s="4" t="s">
        <v>44</v>
      </c>
      <c r="B15" s="4" t="s">
        <v>55</v>
      </c>
      <c r="C15" s="4" t="n">
        <v>11</v>
      </c>
      <c r="D15" s="4" t="n">
        <v>3338</v>
      </c>
      <c r="E15" s="4" t="n">
        <v>2399</v>
      </c>
      <c r="F15" s="4" t="n">
        <v>0.7187</v>
      </c>
      <c r="G15" s="4" t="n">
        <v>65354980.09</v>
      </c>
      <c r="H15" s="4" t="n">
        <v>1.3509</v>
      </c>
    </row>
    <row r="16" customFormat="false" ht="15" hidden="false" customHeight="false" outlineLevel="0" collapsed="false">
      <c r="A16" s="4" t="s">
        <v>44</v>
      </c>
      <c r="B16" s="4" t="s">
        <v>56</v>
      </c>
      <c r="C16" s="4" t="n">
        <v>12</v>
      </c>
      <c r="D16" s="4" t="n">
        <v>3338</v>
      </c>
      <c r="E16" s="4" t="n">
        <v>2441</v>
      </c>
      <c r="F16" s="4" t="n">
        <v>0.7313</v>
      </c>
      <c r="G16" s="4" t="n">
        <v>67603560.3</v>
      </c>
      <c r="H16" s="4" t="n">
        <v>1.3974</v>
      </c>
    </row>
    <row r="17" customFormat="false" ht="15" hidden="false" customHeight="false" outlineLevel="0" collapsed="false">
      <c r="A17" s="4" t="s">
        <v>44</v>
      </c>
      <c r="B17" s="4" t="s">
        <v>57</v>
      </c>
      <c r="C17" s="4" t="n">
        <v>13</v>
      </c>
      <c r="D17" s="4" t="n">
        <v>3338</v>
      </c>
      <c r="E17" s="4" t="n">
        <v>2441</v>
      </c>
      <c r="F17" s="4" t="n">
        <v>0.7313</v>
      </c>
      <c r="G17" s="4" t="n">
        <v>72296204.64</v>
      </c>
      <c r="H17" s="4" t="n">
        <v>1.4944</v>
      </c>
    </row>
    <row r="18" customFormat="false" ht="15" hidden="false" customHeight="false" outlineLevel="0" collapsed="false">
      <c r="A18" s="4" t="s">
        <v>44</v>
      </c>
      <c r="B18" s="4" t="s">
        <v>58</v>
      </c>
      <c r="C18" s="4" t="n">
        <v>14</v>
      </c>
      <c r="D18" s="4" t="n">
        <v>3338</v>
      </c>
      <c r="E18" s="4" t="n">
        <v>2413</v>
      </c>
      <c r="F18" s="4" t="n">
        <v>0.7229</v>
      </c>
      <c r="G18" s="4" t="n">
        <v>85049400.6</v>
      </c>
      <c r="H18" s="4" t="n">
        <v>1.758</v>
      </c>
    </row>
    <row r="19" customFormat="false" ht="15" hidden="false" customHeight="false" outlineLevel="0" collapsed="false">
      <c r="A19" s="4" t="s">
        <v>44</v>
      </c>
      <c r="B19" s="4" t="s">
        <v>59</v>
      </c>
      <c r="C19" s="4" t="n">
        <v>15</v>
      </c>
      <c r="D19" s="4" t="n">
        <v>3338</v>
      </c>
      <c r="E19" s="4" t="n">
        <v>2402</v>
      </c>
      <c r="F19" s="4" t="n">
        <v>0.7196</v>
      </c>
      <c r="G19" s="4" t="n">
        <v>80730963.39</v>
      </c>
      <c r="H19" s="4" t="n">
        <v>1.6688</v>
      </c>
    </row>
    <row r="20" customFormat="false" ht="15" hidden="false" customHeight="false" outlineLevel="0" collapsed="false">
      <c r="A20" s="4" t="s">
        <v>44</v>
      </c>
      <c r="B20" s="4" t="s">
        <v>60</v>
      </c>
      <c r="C20" s="4" t="n">
        <v>16</v>
      </c>
      <c r="D20" s="4" t="n">
        <v>3338</v>
      </c>
      <c r="E20" s="4" t="n">
        <v>2375</v>
      </c>
      <c r="F20" s="4" t="n">
        <v>0.7115</v>
      </c>
      <c r="G20" s="4" t="n">
        <v>71702276.39</v>
      </c>
      <c r="H20" s="4" t="n">
        <v>1.4821</v>
      </c>
    </row>
    <row r="21" customFormat="false" ht="15" hidden="false" customHeight="false" outlineLevel="0" collapsed="false">
      <c r="A21" s="4" t="s">
        <v>44</v>
      </c>
      <c r="B21" s="4" t="s">
        <v>61</v>
      </c>
      <c r="C21" s="4" t="n">
        <v>17</v>
      </c>
      <c r="D21" s="4" t="n">
        <v>3338</v>
      </c>
      <c r="E21" s="4" t="n">
        <v>2360</v>
      </c>
      <c r="F21" s="4" t="n">
        <v>0.707</v>
      </c>
      <c r="G21" s="4" t="n">
        <v>64855499.77</v>
      </c>
      <c r="H21" s="4" t="n">
        <v>1.3406</v>
      </c>
    </row>
    <row r="22" customFormat="false" ht="15" hidden="false" customHeight="false" outlineLevel="0" collapsed="false">
      <c r="A22" s="4" t="s">
        <v>44</v>
      </c>
      <c r="B22" s="4" t="s">
        <v>62</v>
      </c>
      <c r="C22" s="4" t="n">
        <v>18</v>
      </c>
      <c r="D22" s="4" t="n">
        <v>3338</v>
      </c>
      <c r="E22" s="4" t="n">
        <v>2349</v>
      </c>
      <c r="F22" s="4" t="n">
        <v>0.7037</v>
      </c>
      <c r="G22" s="4" t="n">
        <v>64345863.32</v>
      </c>
      <c r="H22" s="4" t="n">
        <v>1.3301</v>
      </c>
    </row>
    <row r="23" customFormat="false" ht="15" hidden="false" customHeight="false" outlineLevel="0" collapsed="false">
      <c r="A23" s="4" t="s">
        <v>44</v>
      </c>
      <c r="B23" s="4" t="s">
        <v>63</v>
      </c>
      <c r="C23" s="4" t="n">
        <v>19</v>
      </c>
      <c r="D23" s="4" t="n">
        <v>3338</v>
      </c>
      <c r="E23" s="4" t="n">
        <v>2358</v>
      </c>
      <c r="F23" s="4" t="n">
        <v>0.7064</v>
      </c>
      <c r="G23" s="4" t="n">
        <v>74335445.07</v>
      </c>
      <c r="H23" s="4" t="n">
        <v>1.5366</v>
      </c>
    </row>
    <row r="24" customFormat="false" ht="15" hidden="false" customHeight="false" outlineLevel="0" collapsed="false">
      <c r="A24" s="4" t="s">
        <v>44</v>
      </c>
      <c r="B24" s="4" t="s">
        <v>64</v>
      </c>
      <c r="C24" s="4" t="n">
        <v>20</v>
      </c>
      <c r="D24" s="4" t="n">
        <v>3338</v>
      </c>
      <c r="E24" s="4" t="n">
        <v>2368</v>
      </c>
      <c r="F24" s="4" t="n">
        <v>0.7094</v>
      </c>
      <c r="G24" s="4" t="n">
        <v>69503755.66</v>
      </c>
      <c r="H24" s="4" t="n">
        <v>1.4367</v>
      </c>
    </row>
    <row r="25" customFormat="false" ht="15" hidden="false" customHeight="false" outlineLevel="0" collapsed="false">
      <c r="A25" s="4" t="s">
        <v>44</v>
      </c>
      <c r="B25" s="4" t="s">
        <v>65</v>
      </c>
      <c r="C25" s="4" t="n">
        <v>21</v>
      </c>
      <c r="D25" s="4" t="n">
        <v>3338</v>
      </c>
      <c r="E25" s="4" t="n">
        <v>2362</v>
      </c>
      <c r="F25" s="4" t="n">
        <v>0.7076</v>
      </c>
      <c r="G25" s="4" t="n">
        <v>69755965.54</v>
      </c>
      <c r="H25" s="4" t="n">
        <v>1.4419</v>
      </c>
    </row>
    <row r="26" customFormat="false" ht="15" hidden="false" customHeight="false" outlineLevel="0" collapsed="false">
      <c r="A26" s="4" t="s">
        <v>44</v>
      </c>
      <c r="B26" s="4" t="s">
        <v>66</v>
      </c>
      <c r="C26" s="4" t="n">
        <v>22</v>
      </c>
      <c r="D26" s="4" t="n">
        <v>3338</v>
      </c>
      <c r="E26" s="4" t="n">
        <v>2369</v>
      </c>
      <c r="F26" s="4" t="n">
        <v>0.7097</v>
      </c>
      <c r="G26" s="4" t="n">
        <v>65182259.22</v>
      </c>
      <c r="H26" s="4" t="n">
        <v>1.3474</v>
      </c>
    </row>
    <row r="27" customFormat="false" ht="15" hidden="false" customHeight="false" outlineLevel="0" collapsed="false">
      <c r="A27" s="4" t="s">
        <v>44</v>
      </c>
      <c r="B27" s="4" t="s">
        <v>67</v>
      </c>
      <c r="C27" s="4" t="n">
        <v>23</v>
      </c>
      <c r="D27" s="4" t="n">
        <v>3338</v>
      </c>
      <c r="E27" s="4" t="n">
        <v>2396</v>
      </c>
      <c r="F27" s="4" t="n">
        <v>0.7178</v>
      </c>
      <c r="G27" s="4" t="n">
        <v>63965600.28</v>
      </c>
      <c r="H27" s="4" t="n">
        <v>1.3222</v>
      </c>
    </row>
    <row r="28" customFormat="false" ht="15" hidden="false" customHeight="false" outlineLevel="0" collapsed="false">
      <c r="A28" s="4" t="s">
        <v>45</v>
      </c>
      <c r="B28" s="4" t="s">
        <v>45</v>
      </c>
      <c r="C28" s="4" t="n">
        <v>0</v>
      </c>
      <c r="D28" s="4" t="n">
        <v>174</v>
      </c>
      <c r="E28" s="4" t="n">
        <v>174</v>
      </c>
      <c r="F28" s="4" t="n">
        <v>1</v>
      </c>
      <c r="G28" s="4" t="n">
        <v>1766108.15</v>
      </c>
      <c r="H28" s="4" t="n">
        <v>1</v>
      </c>
    </row>
    <row r="29" customFormat="false" ht="15" hidden="false" customHeight="false" outlineLevel="0" collapsed="false">
      <c r="A29" s="4" t="s">
        <v>45</v>
      </c>
      <c r="B29" s="4" t="s">
        <v>46</v>
      </c>
      <c r="C29" s="4" t="n">
        <v>1</v>
      </c>
      <c r="D29" s="4" t="n">
        <v>174</v>
      </c>
      <c r="E29" s="4" t="n">
        <v>153</v>
      </c>
      <c r="F29" s="4" t="n">
        <v>0.8793</v>
      </c>
      <c r="G29" s="4" t="n">
        <v>2276316.46</v>
      </c>
      <c r="H29" s="4" t="n">
        <v>1.2889</v>
      </c>
    </row>
    <row r="30" customFormat="false" ht="15" hidden="false" customHeight="false" outlineLevel="0" collapsed="false">
      <c r="A30" s="4" t="s">
        <v>45</v>
      </c>
      <c r="B30" s="4" t="s">
        <v>47</v>
      </c>
      <c r="C30" s="4" t="n">
        <v>2</v>
      </c>
      <c r="D30" s="4" t="n">
        <v>174</v>
      </c>
      <c r="E30" s="4" t="n">
        <v>127</v>
      </c>
      <c r="F30" s="4" t="n">
        <v>0.7299</v>
      </c>
      <c r="G30" s="4" t="n">
        <v>2505222.8</v>
      </c>
      <c r="H30" s="4" t="n">
        <v>1.4185</v>
      </c>
    </row>
    <row r="31" customFormat="false" ht="15" hidden="false" customHeight="false" outlineLevel="0" collapsed="false">
      <c r="A31" s="4" t="s">
        <v>45</v>
      </c>
      <c r="B31" s="4" t="s">
        <v>48</v>
      </c>
      <c r="C31" s="4" t="n">
        <v>3</v>
      </c>
      <c r="D31" s="4" t="n">
        <v>174</v>
      </c>
      <c r="E31" s="4" t="n">
        <v>127</v>
      </c>
      <c r="F31" s="4" t="n">
        <v>0.7299</v>
      </c>
      <c r="G31" s="4" t="n">
        <v>2279114.61</v>
      </c>
      <c r="H31" s="4" t="n">
        <v>1.2905</v>
      </c>
    </row>
    <row r="32" customFormat="false" ht="15" hidden="false" customHeight="false" outlineLevel="0" collapsed="false">
      <c r="A32" s="4" t="s">
        <v>45</v>
      </c>
      <c r="B32" s="4" t="s">
        <v>49</v>
      </c>
      <c r="C32" s="4" t="n">
        <v>4</v>
      </c>
      <c r="D32" s="4" t="n">
        <v>174</v>
      </c>
      <c r="E32" s="4" t="n">
        <v>117</v>
      </c>
      <c r="F32" s="4" t="n">
        <v>0.6724</v>
      </c>
      <c r="G32" s="4" t="n">
        <v>2141770.19</v>
      </c>
      <c r="H32" s="4" t="n">
        <v>1.2127</v>
      </c>
    </row>
    <row r="33" customFormat="false" ht="15" hidden="false" customHeight="false" outlineLevel="0" collapsed="false">
      <c r="A33" s="4" t="s">
        <v>45</v>
      </c>
      <c r="B33" s="4" t="s">
        <v>50</v>
      </c>
      <c r="C33" s="4" t="n">
        <v>5</v>
      </c>
      <c r="D33" s="4" t="n">
        <v>174</v>
      </c>
      <c r="E33" s="4" t="n">
        <v>116</v>
      </c>
      <c r="F33" s="4" t="n">
        <v>0.6667</v>
      </c>
      <c r="G33" s="4" t="n">
        <v>2100009.48</v>
      </c>
      <c r="H33" s="4" t="n">
        <v>1.1891</v>
      </c>
    </row>
    <row r="34" customFormat="false" ht="15" hidden="false" customHeight="false" outlineLevel="0" collapsed="false">
      <c r="A34" s="4" t="s">
        <v>45</v>
      </c>
      <c r="B34" s="4" t="s">
        <v>51</v>
      </c>
      <c r="C34" s="4" t="n">
        <v>6</v>
      </c>
      <c r="D34" s="4" t="n">
        <v>174</v>
      </c>
      <c r="E34" s="4" t="n">
        <v>117</v>
      </c>
      <c r="F34" s="4" t="n">
        <v>0.6724</v>
      </c>
      <c r="G34" s="4" t="n">
        <v>2261864.17</v>
      </c>
      <c r="H34" s="4" t="n">
        <v>1.2807</v>
      </c>
    </row>
    <row r="35" customFormat="false" ht="15" hidden="false" customHeight="false" outlineLevel="0" collapsed="false">
      <c r="A35" s="4" t="s">
        <v>45</v>
      </c>
      <c r="B35" s="4" t="s">
        <v>52</v>
      </c>
      <c r="C35" s="4" t="n">
        <v>7</v>
      </c>
      <c r="D35" s="4" t="n">
        <v>174</v>
      </c>
      <c r="E35" s="4" t="n">
        <v>116</v>
      </c>
      <c r="F35" s="4" t="n">
        <v>0.6667</v>
      </c>
      <c r="G35" s="4" t="n">
        <v>2113352.25</v>
      </c>
      <c r="H35" s="4" t="n">
        <v>1.1966</v>
      </c>
    </row>
    <row r="36" customFormat="false" ht="15" hidden="false" customHeight="false" outlineLevel="0" collapsed="false">
      <c r="A36" s="4" t="s">
        <v>45</v>
      </c>
      <c r="B36" s="4" t="s">
        <v>53</v>
      </c>
      <c r="C36" s="4" t="n">
        <v>8</v>
      </c>
      <c r="D36" s="4" t="n">
        <v>174</v>
      </c>
      <c r="E36" s="4" t="n">
        <v>115</v>
      </c>
      <c r="F36" s="4" t="n">
        <v>0.6609</v>
      </c>
      <c r="G36" s="4" t="n">
        <v>2102599.64</v>
      </c>
      <c r="H36" s="4" t="n">
        <v>1.1905</v>
      </c>
    </row>
    <row r="37" customFormat="false" ht="15" hidden="false" customHeight="false" outlineLevel="0" collapsed="false">
      <c r="A37" s="4" t="s">
        <v>45</v>
      </c>
      <c r="B37" s="4" t="s">
        <v>54</v>
      </c>
      <c r="C37" s="4" t="n">
        <v>9</v>
      </c>
      <c r="D37" s="4" t="n">
        <v>174</v>
      </c>
      <c r="E37" s="4" t="n">
        <v>116</v>
      </c>
      <c r="F37" s="4" t="n">
        <v>0.6667</v>
      </c>
      <c r="G37" s="4" t="n">
        <v>2137977.45</v>
      </c>
      <c r="H37" s="4" t="n">
        <v>1.2106</v>
      </c>
    </row>
    <row r="38" customFormat="false" ht="15" hidden="false" customHeight="false" outlineLevel="0" collapsed="false">
      <c r="A38" s="4" t="s">
        <v>45</v>
      </c>
      <c r="B38" s="4" t="s">
        <v>55</v>
      </c>
      <c r="C38" s="4" t="n">
        <v>10</v>
      </c>
      <c r="D38" s="4" t="n">
        <v>174</v>
      </c>
      <c r="E38" s="4" t="n">
        <v>119</v>
      </c>
      <c r="F38" s="4" t="n">
        <v>0.6839</v>
      </c>
      <c r="G38" s="4" t="n">
        <v>2012190.08</v>
      </c>
      <c r="H38" s="4" t="n">
        <v>1.1393</v>
      </c>
    </row>
    <row r="39" customFormat="false" ht="15" hidden="false" customHeight="false" outlineLevel="0" collapsed="false">
      <c r="A39" s="4" t="s">
        <v>45</v>
      </c>
      <c r="B39" s="4" t="s">
        <v>56</v>
      </c>
      <c r="C39" s="4" t="n">
        <v>11</v>
      </c>
      <c r="D39" s="4" t="n">
        <v>174</v>
      </c>
      <c r="E39" s="4" t="n">
        <v>115</v>
      </c>
      <c r="F39" s="4" t="n">
        <v>0.6609</v>
      </c>
      <c r="G39" s="4" t="n">
        <v>2067593.35</v>
      </c>
      <c r="H39" s="4" t="n">
        <v>1.1707</v>
      </c>
    </row>
    <row r="40" customFormat="false" ht="15" hidden="false" customHeight="false" outlineLevel="0" collapsed="false">
      <c r="A40" s="4" t="s">
        <v>45</v>
      </c>
      <c r="B40" s="4" t="s">
        <v>57</v>
      </c>
      <c r="C40" s="4" t="n">
        <v>12</v>
      </c>
      <c r="D40" s="4" t="n">
        <v>174</v>
      </c>
      <c r="E40" s="4" t="n">
        <v>112</v>
      </c>
      <c r="F40" s="4" t="n">
        <v>0.6437</v>
      </c>
      <c r="G40" s="4" t="n">
        <v>2251730.91</v>
      </c>
      <c r="H40" s="4" t="n">
        <v>1.275</v>
      </c>
    </row>
    <row r="41" customFormat="false" ht="15" hidden="false" customHeight="false" outlineLevel="0" collapsed="false">
      <c r="A41" s="4" t="s">
        <v>45</v>
      </c>
      <c r="B41" s="4" t="s">
        <v>58</v>
      </c>
      <c r="C41" s="4" t="n">
        <v>13</v>
      </c>
      <c r="D41" s="4" t="n">
        <v>174</v>
      </c>
      <c r="E41" s="4" t="n">
        <v>109</v>
      </c>
      <c r="F41" s="4" t="n">
        <v>0.6264</v>
      </c>
      <c r="G41" s="4" t="n">
        <v>2620205.01</v>
      </c>
      <c r="H41" s="4" t="n">
        <v>1.4836</v>
      </c>
    </row>
    <row r="42" customFormat="false" ht="15" hidden="false" customHeight="false" outlineLevel="0" collapsed="false">
      <c r="A42" s="4" t="s">
        <v>45</v>
      </c>
      <c r="B42" s="4" t="s">
        <v>59</v>
      </c>
      <c r="C42" s="4" t="n">
        <v>14</v>
      </c>
      <c r="D42" s="4" t="n">
        <v>174</v>
      </c>
      <c r="E42" s="4" t="n">
        <v>110</v>
      </c>
      <c r="F42" s="4" t="n">
        <v>0.6322</v>
      </c>
      <c r="G42" s="4" t="n">
        <v>2608967.14</v>
      </c>
      <c r="H42" s="4" t="n">
        <v>1.4772</v>
      </c>
    </row>
    <row r="43" customFormat="false" ht="15" hidden="false" customHeight="false" outlineLevel="0" collapsed="false">
      <c r="A43" s="4" t="s">
        <v>45</v>
      </c>
      <c r="B43" s="4" t="s">
        <v>60</v>
      </c>
      <c r="C43" s="4" t="n">
        <v>15</v>
      </c>
      <c r="D43" s="4" t="n">
        <v>174</v>
      </c>
      <c r="E43" s="4" t="n">
        <v>112</v>
      </c>
      <c r="F43" s="4" t="n">
        <v>0.6437</v>
      </c>
      <c r="G43" s="4" t="n">
        <v>2461891.13</v>
      </c>
      <c r="H43" s="4" t="n">
        <v>1.394</v>
      </c>
    </row>
    <row r="44" customFormat="false" ht="15" hidden="false" customHeight="false" outlineLevel="0" collapsed="false">
      <c r="A44" s="4" t="s">
        <v>45</v>
      </c>
      <c r="B44" s="4" t="s">
        <v>61</v>
      </c>
      <c r="C44" s="4" t="n">
        <v>16</v>
      </c>
      <c r="D44" s="4" t="n">
        <v>174</v>
      </c>
      <c r="E44" s="4" t="n">
        <v>100</v>
      </c>
      <c r="F44" s="4" t="n">
        <v>0.5747</v>
      </c>
      <c r="G44" s="4" t="n">
        <v>2115419.61</v>
      </c>
      <c r="H44" s="4" t="n">
        <v>1.1978</v>
      </c>
    </row>
    <row r="45" customFormat="false" ht="15" hidden="false" customHeight="false" outlineLevel="0" collapsed="false">
      <c r="A45" s="4" t="s">
        <v>45</v>
      </c>
      <c r="B45" s="4" t="s">
        <v>62</v>
      </c>
      <c r="C45" s="4" t="n">
        <v>17</v>
      </c>
      <c r="D45" s="4" t="n">
        <v>174</v>
      </c>
      <c r="E45" s="4" t="n">
        <v>101</v>
      </c>
      <c r="F45" s="4" t="n">
        <v>0.5805</v>
      </c>
      <c r="G45" s="4" t="n">
        <v>1911330.8</v>
      </c>
      <c r="H45" s="4" t="n">
        <v>1.0822</v>
      </c>
    </row>
    <row r="46" customFormat="false" ht="15" hidden="false" customHeight="false" outlineLevel="0" collapsed="false">
      <c r="A46" s="4" t="s">
        <v>45</v>
      </c>
      <c r="B46" s="4" t="s">
        <v>63</v>
      </c>
      <c r="C46" s="4" t="n">
        <v>18</v>
      </c>
      <c r="D46" s="4" t="n">
        <v>174</v>
      </c>
      <c r="E46" s="4" t="n">
        <v>101</v>
      </c>
      <c r="F46" s="4" t="n">
        <v>0.5805</v>
      </c>
      <c r="G46" s="4" t="n">
        <v>2356874.56</v>
      </c>
      <c r="H46" s="4" t="n">
        <v>1.3345</v>
      </c>
    </row>
    <row r="47" customFormat="false" ht="15" hidden="false" customHeight="false" outlineLevel="0" collapsed="false">
      <c r="A47" s="4" t="s">
        <v>45</v>
      </c>
      <c r="B47" s="4" t="s">
        <v>64</v>
      </c>
      <c r="C47" s="4" t="n">
        <v>19</v>
      </c>
      <c r="D47" s="4" t="n">
        <v>174</v>
      </c>
      <c r="E47" s="4" t="n">
        <v>103</v>
      </c>
      <c r="F47" s="4" t="n">
        <v>0.592</v>
      </c>
      <c r="G47" s="4" t="n">
        <v>2205174.01</v>
      </c>
      <c r="H47" s="4" t="n">
        <v>1.2486</v>
      </c>
    </row>
    <row r="48" customFormat="false" ht="15" hidden="false" customHeight="false" outlineLevel="0" collapsed="false">
      <c r="A48" s="4" t="s">
        <v>45</v>
      </c>
      <c r="B48" s="4" t="s">
        <v>65</v>
      </c>
      <c r="C48" s="4" t="n">
        <v>20</v>
      </c>
      <c r="D48" s="4" t="n">
        <v>174</v>
      </c>
      <c r="E48" s="4" t="n">
        <v>106</v>
      </c>
      <c r="F48" s="4" t="n">
        <v>0.6092</v>
      </c>
      <c r="G48" s="4" t="n">
        <v>2170667.06</v>
      </c>
      <c r="H48" s="4" t="n">
        <v>1.2291</v>
      </c>
    </row>
    <row r="49" customFormat="false" ht="15" hidden="false" customHeight="false" outlineLevel="0" collapsed="false">
      <c r="A49" s="4" t="s">
        <v>45</v>
      </c>
      <c r="B49" s="4" t="s">
        <v>66</v>
      </c>
      <c r="C49" s="4" t="n">
        <v>21</v>
      </c>
      <c r="D49" s="4" t="n">
        <v>174</v>
      </c>
      <c r="E49" s="4" t="n">
        <v>99</v>
      </c>
      <c r="F49" s="4" t="n">
        <v>0.569</v>
      </c>
      <c r="G49" s="4" t="n">
        <v>1843335.66</v>
      </c>
      <c r="H49" s="4" t="n">
        <v>1.0437</v>
      </c>
    </row>
    <row r="50" customFormat="false" ht="15" hidden="false" customHeight="false" outlineLevel="0" collapsed="false">
      <c r="A50" s="4" t="s">
        <v>45</v>
      </c>
      <c r="B50" s="4" t="s">
        <v>67</v>
      </c>
      <c r="C50" s="4" t="n">
        <v>22</v>
      </c>
      <c r="D50" s="4" t="n">
        <v>174</v>
      </c>
      <c r="E50" s="4" t="n">
        <v>109</v>
      </c>
      <c r="F50" s="4" t="n">
        <v>0.6264</v>
      </c>
      <c r="G50" s="4" t="n">
        <v>1997333.67</v>
      </c>
      <c r="H50" s="4" t="n">
        <v>1.1309</v>
      </c>
    </row>
    <row r="51" customFormat="false" ht="15" hidden="false" customHeight="false" outlineLevel="0" collapsed="false">
      <c r="A51" s="4" t="s">
        <v>46</v>
      </c>
      <c r="B51" s="4" t="s">
        <v>46</v>
      </c>
      <c r="C51" s="4" t="n">
        <v>0</v>
      </c>
      <c r="D51" s="4" t="n">
        <v>134</v>
      </c>
      <c r="E51" s="4" t="n">
        <v>134</v>
      </c>
      <c r="F51" s="4" t="n">
        <v>1</v>
      </c>
      <c r="G51" s="4" t="n">
        <v>2903882.77</v>
      </c>
      <c r="H51" s="4" t="n">
        <v>1</v>
      </c>
    </row>
    <row r="52" customFormat="false" ht="15" hidden="false" customHeight="false" outlineLevel="0" collapsed="false">
      <c r="A52" s="4" t="s">
        <v>46</v>
      </c>
      <c r="B52" s="4" t="s">
        <v>47</v>
      </c>
      <c r="C52" s="4" t="n">
        <v>1</v>
      </c>
      <c r="D52" s="4" t="n">
        <v>134</v>
      </c>
      <c r="E52" s="4" t="n">
        <v>122</v>
      </c>
      <c r="F52" s="4" t="n">
        <v>0.9104</v>
      </c>
      <c r="G52" s="4" t="n">
        <v>3424543.87</v>
      </c>
      <c r="H52" s="4" t="n">
        <v>1.1793</v>
      </c>
    </row>
    <row r="53" customFormat="false" ht="15" hidden="false" customHeight="false" outlineLevel="0" collapsed="false">
      <c r="A53" s="4" t="s">
        <v>46</v>
      </c>
      <c r="B53" s="4" t="s">
        <v>48</v>
      </c>
      <c r="C53" s="4" t="n">
        <v>2</v>
      </c>
      <c r="D53" s="4" t="n">
        <v>134</v>
      </c>
      <c r="E53" s="4" t="n">
        <v>115</v>
      </c>
      <c r="F53" s="4" t="n">
        <v>0.8582</v>
      </c>
      <c r="G53" s="4" t="n">
        <v>3594157.46</v>
      </c>
      <c r="H53" s="4" t="n">
        <v>1.2377</v>
      </c>
    </row>
    <row r="54" customFormat="false" ht="15" hidden="false" customHeight="false" outlineLevel="0" collapsed="false">
      <c r="A54" s="4" t="s">
        <v>46</v>
      </c>
      <c r="B54" s="4" t="s">
        <v>49</v>
      </c>
      <c r="C54" s="4" t="n">
        <v>3</v>
      </c>
      <c r="D54" s="4" t="n">
        <v>134</v>
      </c>
      <c r="E54" s="4" t="n">
        <v>105</v>
      </c>
      <c r="F54" s="4" t="n">
        <v>0.7836</v>
      </c>
      <c r="G54" s="4" t="n">
        <v>3610159.23</v>
      </c>
      <c r="H54" s="4" t="n">
        <v>1.2432</v>
      </c>
    </row>
    <row r="55" customFormat="false" ht="15" hidden="false" customHeight="false" outlineLevel="0" collapsed="false">
      <c r="A55" s="4" t="s">
        <v>46</v>
      </c>
      <c r="B55" s="4" t="s">
        <v>50</v>
      </c>
      <c r="C55" s="4" t="n">
        <v>4</v>
      </c>
      <c r="D55" s="4" t="n">
        <v>134</v>
      </c>
      <c r="E55" s="4" t="n">
        <v>97</v>
      </c>
      <c r="F55" s="4" t="n">
        <v>0.7239</v>
      </c>
      <c r="G55" s="4" t="n">
        <v>3790958</v>
      </c>
      <c r="H55" s="4" t="n">
        <v>1.3055</v>
      </c>
    </row>
    <row r="56" customFormat="false" ht="15" hidden="false" customHeight="false" outlineLevel="0" collapsed="false">
      <c r="A56" s="4" t="s">
        <v>46</v>
      </c>
      <c r="B56" s="4" t="s">
        <v>51</v>
      </c>
      <c r="C56" s="4" t="n">
        <v>5</v>
      </c>
      <c r="D56" s="4" t="n">
        <v>134</v>
      </c>
      <c r="E56" s="4" t="n">
        <v>98</v>
      </c>
      <c r="F56" s="4" t="n">
        <v>0.7313</v>
      </c>
      <c r="G56" s="4" t="n">
        <v>4509409.44</v>
      </c>
      <c r="H56" s="4" t="n">
        <v>1.5529</v>
      </c>
    </row>
    <row r="57" customFormat="false" ht="15" hidden="false" customHeight="false" outlineLevel="0" collapsed="false">
      <c r="A57" s="4" t="s">
        <v>46</v>
      </c>
      <c r="B57" s="4" t="s">
        <v>52</v>
      </c>
      <c r="C57" s="4" t="n">
        <v>6</v>
      </c>
      <c r="D57" s="4" t="n">
        <v>134</v>
      </c>
      <c r="E57" s="4" t="n">
        <v>96</v>
      </c>
      <c r="F57" s="4" t="n">
        <v>0.7164</v>
      </c>
      <c r="G57" s="4" t="n">
        <v>4247174.51</v>
      </c>
      <c r="H57" s="4" t="n">
        <v>1.4626</v>
      </c>
    </row>
    <row r="58" customFormat="false" ht="15" hidden="false" customHeight="false" outlineLevel="0" collapsed="false">
      <c r="A58" s="4" t="s">
        <v>46</v>
      </c>
      <c r="B58" s="4" t="s">
        <v>53</v>
      </c>
      <c r="C58" s="4" t="n">
        <v>7</v>
      </c>
      <c r="D58" s="4" t="n">
        <v>134</v>
      </c>
      <c r="E58" s="4" t="n">
        <v>94</v>
      </c>
      <c r="F58" s="4" t="n">
        <v>0.7015</v>
      </c>
      <c r="G58" s="4" t="n">
        <v>4087314.93</v>
      </c>
      <c r="H58" s="4" t="n">
        <v>1.4075</v>
      </c>
    </row>
    <row r="59" customFormat="false" ht="15" hidden="false" customHeight="false" outlineLevel="0" collapsed="false">
      <c r="A59" s="4" t="s">
        <v>46</v>
      </c>
      <c r="B59" s="4" t="s">
        <v>54</v>
      </c>
      <c r="C59" s="4" t="n">
        <v>8</v>
      </c>
      <c r="D59" s="4" t="n">
        <v>134</v>
      </c>
      <c r="E59" s="4" t="n">
        <v>86</v>
      </c>
      <c r="F59" s="4" t="n">
        <v>0.6418</v>
      </c>
      <c r="G59" s="4" t="n">
        <v>3717207</v>
      </c>
      <c r="H59" s="4" t="n">
        <v>1.2801</v>
      </c>
    </row>
    <row r="60" customFormat="false" ht="15" hidden="false" customHeight="false" outlineLevel="0" collapsed="false">
      <c r="A60" s="4" t="s">
        <v>46</v>
      </c>
      <c r="B60" s="4" t="s">
        <v>55</v>
      </c>
      <c r="C60" s="4" t="n">
        <v>9</v>
      </c>
      <c r="D60" s="4" t="n">
        <v>134</v>
      </c>
      <c r="E60" s="4" t="n">
        <v>89</v>
      </c>
      <c r="F60" s="4" t="n">
        <v>0.6642</v>
      </c>
      <c r="G60" s="4" t="n">
        <v>3685916.3</v>
      </c>
      <c r="H60" s="4" t="n">
        <v>1.2693</v>
      </c>
    </row>
    <row r="61" customFormat="false" ht="15" hidden="false" customHeight="false" outlineLevel="0" collapsed="false">
      <c r="A61" s="4" t="s">
        <v>46</v>
      </c>
      <c r="B61" s="4" t="s">
        <v>56</v>
      </c>
      <c r="C61" s="4" t="n">
        <v>10</v>
      </c>
      <c r="D61" s="4" t="n">
        <v>134</v>
      </c>
      <c r="E61" s="4" t="n">
        <v>95</v>
      </c>
      <c r="F61" s="4" t="n">
        <v>0.709</v>
      </c>
      <c r="G61" s="4" t="n">
        <v>3674378.41</v>
      </c>
      <c r="H61" s="4" t="n">
        <v>1.2653</v>
      </c>
    </row>
    <row r="62" customFormat="false" ht="15" hidden="false" customHeight="false" outlineLevel="0" collapsed="false">
      <c r="A62" s="4" t="s">
        <v>46</v>
      </c>
      <c r="B62" s="4" t="s">
        <v>57</v>
      </c>
      <c r="C62" s="4" t="n">
        <v>11</v>
      </c>
      <c r="D62" s="4" t="n">
        <v>134</v>
      </c>
      <c r="E62" s="4" t="n">
        <v>89</v>
      </c>
      <c r="F62" s="4" t="n">
        <v>0.6642</v>
      </c>
      <c r="G62" s="4" t="n">
        <v>4016625.02</v>
      </c>
      <c r="H62" s="4" t="n">
        <v>1.3832</v>
      </c>
    </row>
    <row r="63" customFormat="false" ht="15" hidden="false" customHeight="false" outlineLevel="0" collapsed="false">
      <c r="A63" s="4" t="s">
        <v>46</v>
      </c>
      <c r="B63" s="4" t="s">
        <v>58</v>
      </c>
      <c r="C63" s="4" t="n">
        <v>12</v>
      </c>
      <c r="D63" s="4" t="n">
        <v>134</v>
      </c>
      <c r="E63" s="4" t="n">
        <v>93</v>
      </c>
      <c r="F63" s="4" t="n">
        <v>0.694</v>
      </c>
      <c r="G63" s="4" t="n">
        <v>4470906.56</v>
      </c>
      <c r="H63" s="4" t="n">
        <v>1.5396</v>
      </c>
    </row>
    <row r="64" customFormat="false" ht="15" hidden="false" customHeight="false" outlineLevel="0" collapsed="false">
      <c r="A64" s="4" t="s">
        <v>46</v>
      </c>
      <c r="B64" s="4" t="s">
        <v>59</v>
      </c>
      <c r="C64" s="4" t="n">
        <v>13</v>
      </c>
      <c r="D64" s="4" t="n">
        <v>134</v>
      </c>
      <c r="E64" s="4" t="n">
        <v>91</v>
      </c>
      <c r="F64" s="4" t="n">
        <v>0.6791</v>
      </c>
      <c r="G64" s="4" t="n">
        <v>4674460.67</v>
      </c>
      <c r="H64" s="4" t="n">
        <v>1.6097</v>
      </c>
    </row>
    <row r="65" customFormat="false" ht="15" hidden="false" customHeight="false" outlineLevel="0" collapsed="false">
      <c r="A65" s="4" t="s">
        <v>46</v>
      </c>
      <c r="B65" s="4" t="s">
        <v>60</v>
      </c>
      <c r="C65" s="4" t="n">
        <v>14</v>
      </c>
      <c r="D65" s="4" t="n">
        <v>134</v>
      </c>
      <c r="E65" s="4" t="n">
        <v>92</v>
      </c>
      <c r="F65" s="4" t="n">
        <v>0.6866</v>
      </c>
      <c r="G65" s="4" t="n">
        <v>3860448.52</v>
      </c>
      <c r="H65" s="4" t="n">
        <v>1.3294</v>
      </c>
    </row>
    <row r="66" customFormat="false" ht="15" hidden="false" customHeight="false" outlineLevel="0" collapsed="false">
      <c r="A66" s="4" t="s">
        <v>46</v>
      </c>
      <c r="B66" s="4" t="s">
        <v>61</v>
      </c>
      <c r="C66" s="4" t="n">
        <v>15</v>
      </c>
      <c r="D66" s="4" t="n">
        <v>134</v>
      </c>
      <c r="E66" s="4" t="n">
        <v>89</v>
      </c>
      <c r="F66" s="4" t="n">
        <v>0.6642</v>
      </c>
      <c r="G66" s="4" t="n">
        <v>3511781.1</v>
      </c>
      <c r="H66" s="4" t="n">
        <v>1.2093</v>
      </c>
    </row>
    <row r="67" customFormat="false" ht="15" hidden="false" customHeight="false" outlineLevel="0" collapsed="false">
      <c r="A67" s="4" t="s">
        <v>46</v>
      </c>
      <c r="B67" s="4" t="s">
        <v>62</v>
      </c>
      <c r="C67" s="4" t="n">
        <v>16</v>
      </c>
      <c r="D67" s="4" t="n">
        <v>134</v>
      </c>
      <c r="E67" s="4" t="n">
        <v>94</v>
      </c>
      <c r="F67" s="4" t="n">
        <v>0.7015</v>
      </c>
      <c r="G67" s="4" t="n">
        <v>3699790.45</v>
      </c>
      <c r="H67" s="4" t="n">
        <v>1.2741</v>
      </c>
    </row>
    <row r="68" customFormat="false" ht="15" hidden="false" customHeight="false" outlineLevel="0" collapsed="false">
      <c r="A68" s="4" t="s">
        <v>46</v>
      </c>
      <c r="B68" s="4" t="s">
        <v>63</v>
      </c>
      <c r="C68" s="4" t="n">
        <v>17</v>
      </c>
      <c r="D68" s="4" t="n">
        <v>134</v>
      </c>
      <c r="E68" s="4" t="n">
        <v>94</v>
      </c>
      <c r="F68" s="4" t="n">
        <v>0.7015</v>
      </c>
      <c r="G68" s="4" t="n">
        <v>4366417.86</v>
      </c>
      <c r="H68" s="4" t="n">
        <v>1.5036</v>
      </c>
    </row>
    <row r="69" customFormat="false" ht="15" hidden="false" customHeight="false" outlineLevel="0" collapsed="false">
      <c r="A69" s="4" t="s">
        <v>46</v>
      </c>
      <c r="B69" s="4" t="s">
        <v>64</v>
      </c>
      <c r="C69" s="4" t="n">
        <v>18</v>
      </c>
      <c r="D69" s="4" t="n">
        <v>134</v>
      </c>
      <c r="E69" s="4" t="n">
        <v>89</v>
      </c>
      <c r="F69" s="4" t="n">
        <v>0.6642</v>
      </c>
      <c r="G69" s="4" t="n">
        <v>3992103.13</v>
      </c>
      <c r="H69" s="4" t="n">
        <v>1.3747</v>
      </c>
    </row>
    <row r="70" customFormat="false" ht="15" hidden="false" customHeight="false" outlineLevel="0" collapsed="false">
      <c r="A70" s="4" t="s">
        <v>46</v>
      </c>
      <c r="B70" s="4" t="s">
        <v>65</v>
      </c>
      <c r="C70" s="4" t="n">
        <v>19</v>
      </c>
      <c r="D70" s="4" t="n">
        <v>134</v>
      </c>
      <c r="E70" s="4" t="n">
        <v>98</v>
      </c>
      <c r="F70" s="4" t="n">
        <v>0.7313</v>
      </c>
      <c r="G70" s="4" t="n">
        <v>3973789.11</v>
      </c>
      <c r="H70" s="4" t="n">
        <v>1.3684</v>
      </c>
    </row>
    <row r="71" customFormat="false" ht="15" hidden="false" customHeight="false" outlineLevel="0" collapsed="false">
      <c r="A71" s="4" t="s">
        <v>46</v>
      </c>
      <c r="B71" s="4" t="s">
        <v>66</v>
      </c>
      <c r="C71" s="4" t="n">
        <v>20</v>
      </c>
      <c r="D71" s="4" t="n">
        <v>134</v>
      </c>
      <c r="E71" s="4" t="n">
        <v>94</v>
      </c>
      <c r="F71" s="4" t="n">
        <v>0.7015</v>
      </c>
      <c r="G71" s="4" t="n">
        <v>3461587.39</v>
      </c>
      <c r="H71" s="4" t="n">
        <v>1.1921</v>
      </c>
    </row>
    <row r="72" customFormat="false" ht="15" hidden="false" customHeight="false" outlineLevel="0" collapsed="false">
      <c r="A72" s="4" t="s">
        <v>46</v>
      </c>
      <c r="B72" s="4" t="s">
        <v>67</v>
      </c>
      <c r="C72" s="4" t="n">
        <v>21</v>
      </c>
      <c r="D72" s="4" t="n">
        <v>134</v>
      </c>
      <c r="E72" s="4" t="n">
        <v>93</v>
      </c>
      <c r="F72" s="4" t="n">
        <v>0.694</v>
      </c>
      <c r="G72" s="4" t="n">
        <v>3385595.97</v>
      </c>
      <c r="H72" s="4" t="n">
        <v>1.1659</v>
      </c>
    </row>
    <row r="73" customFormat="false" ht="15" hidden="false" customHeight="false" outlineLevel="0" collapsed="false">
      <c r="A73" s="4" t="s">
        <v>47</v>
      </c>
      <c r="B73" s="4" t="s">
        <v>47</v>
      </c>
      <c r="C73" s="4" t="n">
        <v>0</v>
      </c>
      <c r="D73" s="4" t="n">
        <v>137</v>
      </c>
      <c r="E73" s="4" t="n">
        <v>137</v>
      </c>
      <c r="F73" s="4" t="n">
        <v>1</v>
      </c>
      <c r="G73" s="4" t="n">
        <v>2211360.47</v>
      </c>
      <c r="H73" s="4" t="n">
        <v>1</v>
      </c>
    </row>
    <row r="74" customFormat="false" ht="15" hidden="false" customHeight="false" outlineLevel="0" collapsed="false">
      <c r="A74" s="4" t="s">
        <v>47</v>
      </c>
      <c r="B74" s="4" t="s">
        <v>48</v>
      </c>
      <c r="C74" s="4" t="n">
        <v>1</v>
      </c>
      <c r="D74" s="4" t="n">
        <v>137</v>
      </c>
      <c r="E74" s="4" t="n">
        <v>121</v>
      </c>
      <c r="F74" s="4" t="n">
        <v>0.8832</v>
      </c>
      <c r="G74" s="4" t="n">
        <v>2213710.84</v>
      </c>
      <c r="H74" s="4" t="n">
        <v>1.0011</v>
      </c>
    </row>
    <row r="75" customFormat="false" ht="15" hidden="false" customHeight="false" outlineLevel="0" collapsed="false">
      <c r="A75" s="4" t="s">
        <v>47</v>
      </c>
      <c r="B75" s="4" t="s">
        <v>49</v>
      </c>
      <c r="C75" s="4" t="n">
        <v>2</v>
      </c>
      <c r="D75" s="4" t="n">
        <v>137</v>
      </c>
      <c r="E75" s="4" t="n">
        <v>115</v>
      </c>
      <c r="F75" s="4" t="n">
        <v>0.8394</v>
      </c>
      <c r="G75" s="4" t="n">
        <v>2242037.79</v>
      </c>
      <c r="H75" s="4" t="n">
        <v>1.0139</v>
      </c>
    </row>
    <row r="76" customFormat="false" ht="15" hidden="false" customHeight="false" outlineLevel="0" collapsed="false">
      <c r="A76" s="4" t="s">
        <v>47</v>
      </c>
      <c r="B76" s="4" t="s">
        <v>50</v>
      </c>
      <c r="C76" s="4" t="n">
        <v>3</v>
      </c>
      <c r="D76" s="4" t="n">
        <v>137</v>
      </c>
      <c r="E76" s="4" t="n">
        <v>98</v>
      </c>
      <c r="F76" s="4" t="n">
        <v>0.7153</v>
      </c>
      <c r="G76" s="4" t="n">
        <v>2291189.2</v>
      </c>
      <c r="H76" s="4" t="n">
        <v>1.0361</v>
      </c>
    </row>
    <row r="77" customFormat="false" ht="15" hidden="false" customHeight="false" outlineLevel="0" collapsed="false">
      <c r="A77" s="4" t="s">
        <v>47</v>
      </c>
      <c r="B77" s="4" t="s">
        <v>51</v>
      </c>
      <c r="C77" s="4" t="n">
        <v>4</v>
      </c>
      <c r="D77" s="4" t="n">
        <v>137</v>
      </c>
      <c r="E77" s="4" t="n">
        <v>95</v>
      </c>
      <c r="F77" s="4" t="n">
        <v>0.6934</v>
      </c>
      <c r="G77" s="4" t="n">
        <v>2898165.5</v>
      </c>
      <c r="H77" s="4" t="n">
        <v>1.3106</v>
      </c>
    </row>
    <row r="78" customFormat="false" ht="15" hidden="false" customHeight="false" outlineLevel="0" collapsed="false">
      <c r="A78" s="4" t="s">
        <v>47</v>
      </c>
      <c r="B78" s="4" t="s">
        <v>52</v>
      </c>
      <c r="C78" s="4" t="n">
        <v>5</v>
      </c>
      <c r="D78" s="4" t="n">
        <v>137</v>
      </c>
      <c r="E78" s="4" t="n">
        <v>94</v>
      </c>
      <c r="F78" s="4" t="n">
        <v>0.6861</v>
      </c>
      <c r="G78" s="4" t="n">
        <v>2851555.28</v>
      </c>
      <c r="H78" s="4" t="n">
        <v>1.2895</v>
      </c>
    </row>
    <row r="79" customFormat="false" ht="15" hidden="false" customHeight="false" outlineLevel="0" collapsed="false">
      <c r="A79" s="4" t="s">
        <v>47</v>
      </c>
      <c r="B79" s="4" t="s">
        <v>53</v>
      </c>
      <c r="C79" s="4" t="n">
        <v>6</v>
      </c>
      <c r="D79" s="4" t="n">
        <v>137</v>
      </c>
      <c r="E79" s="4" t="n">
        <v>95</v>
      </c>
      <c r="F79" s="4" t="n">
        <v>0.6934</v>
      </c>
      <c r="G79" s="4" t="n">
        <v>2849125.01</v>
      </c>
      <c r="H79" s="4" t="n">
        <v>1.2884</v>
      </c>
    </row>
    <row r="80" customFormat="false" ht="15" hidden="false" customHeight="false" outlineLevel="0" collapsed="false">
      <c r="A80" s="4" t="s">
        <v>47</v>
      </c>
      <c r="B80" s="4" t="s">
        <v>54</v>
      </c>
      <c r="C80" s="4" t="n">
        <v>7</v>
      </c>
      <c r="D80" s="4" t="n">
        <v>137</v>
      </c>
      <c r="E80" s="4" t="n">
        <v>98</v>
      </c>
      <c r="F80" s="4" t="n">
        <v>0.7153</v>
      </c>
      <c r="G80" s="4" t="n">
        <v>2653086</v>
      </c>
      <c r="H80" s="4" t="n">
        <v>1.1998</v>
      </c>
    </row>
    <row r="81" customFormat="false" ht="15" hidden="false" customHeight="false" outlineLevel="0" collapsed="false">
      <c r="A81" s="4" t="s">
        <v>47</v>
      </c>
      <c r="B81" s="4" t="s">
        <v>55</v>
      </c>
      <c r="C81" s="4" t="n">
        <v>8</v>
      </c>
      <c r="D81" s="4" t="n">
        <v>137</v>
      </c>
      <c r="E81" s="4" t="n">
        <v>97</v>
      </c>
      <c r="F81" s="4" t="n">
        <v>0.708</v>
      </c>
      <c r="G81" s="4" t="n">
        <v>2657670.73</v>
      </c>
      <c r="H81" s="4" t="n">
        <v>1.2018</v>
      </c>
    </row>
    <row r="82" customFormat="false" ht="15" hidden="false" customHeight="false" outlineLevel="0" collapsed="false">
      <c r="A82" s="4" t="s">
        <v>47</v>
      </c>
      <c r="B82" s="4" t="s">
        <v>56</v>
      </c>
      <c r="C82" s="4" t="n">
        <v>9</v>
      </c>
      <c r="D82" s="4" t="n">
        <v>137</v>
      </c>
      <c r="E82" s="4" t="n">
        <v>94</v>
      </c>
      <c r="F82" s="4" t="n">
        <v>0.6861</v>
      </c>
      <c r="G82" s="4" t="n">
        <v>2611779.11</v>
      </c>
      <c r="H82" s="4" t="n">
        <v>1.1811</v>
      </c>
    </row>
    <row r="83" customFormat="false" ht="15" hidden="false" customHeight="false" outlineLevel="0" collapsed="false">
      <c r="A83" s="4" t="s">
        <v>47</v>
      </c>
      <c r="B83" s="4" t="s">
        <v>57</v>
      </c>
      <c r="C83" s="4" t="n">
        <v>10</v>
      </c>
      <c r="D83" s="4" t="n">
        <v>137</v>
      </c>
      <c r="E83" s="4" t="n">
        <v>96</v>
      </c>
      <c r="F83" s="4" t="n">
        <v>0.7007</v>
      </c>
      <c r="G83" s="4" t="n">
        <v>2710645.12</v>
      </c>
      <c r="H83" s="4" t="n">
        <v>1.2258</v>
      </c>
    </row>
    <row r="84" customFormat="false" ht="15" hidden="false" customHeight="false" outlineLevel="0" collapsed="false">
      <c r="A84" s="4" t="s">
        <v>47</v>
      </c>
      <c r="B84" s="4" t="s">
        <v>58</v>
      </c>
      <c r="C84" s="4" t="n">
        <v>11</v>
      </c>
      <c r="D84" s="4" t="n">
        <v>137</v>
      </c>
      <c r="E84" s="4" t="n">
        <v>99</v>
      </c>
      <c r="F84" s="4" t="n">
        <v>0.7226</v>
      </c>
      <c r="G84" s="4" t="n">
        <v>3333842.92</v>
      </c>
      <c r="H84" s="4" t="n">
        <v>1.5076</v>
      </c>
    </row>
    <row r="85" customFormat="false" ht="15" hidden="false" customHeight="false" outlineLevel="0" collapsed="false">
      <c r="A85" s="4" t="s">
        <v>47</v>
      </c>
      <c r="B85" s="4" t="s">
        <v>59</v>
      </c>
      <c r="C85" s="4" t="n">
        <v>12</v>
      </c>
      <c r="D85" s="4" t="n">
        <v>137</v>
      </c>
      <c r="E85" s="4" t="n">
        <v>97</v>
      </c>
      <c r="F85" s="4" t="n">
        <v>0.708</v>
      </c>
      <c r="G85" s="4" t="n">
        <v>3147421.35</v>
      </c>
      <c r="H85" s="4" t="n">
        <v>1.4233</v>
      </c>
    </row>
    <row r="86" customFormat="false" ht="15" hidden="false" customHeight="false" outlineLevel="0" collapsed="false">
      <c r="A86" s="4" t="s">
        <v>47</v>
      </c>
      <c r="B86" s="4" t="s">
        <v>60</v>
      </c>
      <c r="C86" s="4" t="n">
        <v>13</v>
      </c>
      <c r="D86" s="4" t="n">
        <v>137</v>
      </c>
      <c r="E86" s="4" t="n">
        <v>93</v>
      </c>
      <c r="F86" s="4" t="n">
        <v>0.6788</v>
      </c>
      <c r="G86" s="4" t="n">
        <v>2706772.35</v>
      </c>
      <c r="H86" s="4" t="n">
        <v>1.224</v>
      </c>
    </row>
    <row r="87" customFormat="false" ht="15" hidden="false" customHeight="false" outlineLevel="0" collapsed="false">
      <c r="A87" s="4" t="s">
        <v>47</v>
      </c>
      <c r="B87" s="4" t="s">
        <v>61</v>
      </c>
      <c r="C87" s="4" t="n">
        <v>14</v>
      </c>
      <c r="D87" s="4" t="n">
        <v>137</v>
      </c>
      <c r="E87" s="4" t="n">
        <v>90</v>
      </c>
      <c r="F87" s="4" t="n">
        <v>0.6569</v>
      </c>
      <c r="G87" s="4" t="n">
        <v>2582414.26</v>
      </c>
      <c r="H87" s="4" t="n">
        <v>1.1678</v>
      </c>
    </row>
    <row r="88" customFormat="false" ht="15" hidden="false" customHeight="false" outlineLevel="0" collapsed="false">
      <c r="A88" s="4" t="s">
        <v>47</v>
      </c>
      <c r="B88" s="4" t="s">
        <v>62</v>
      </c>
      <c r="C88" s="4" t="n">
        <v>15</v>
      </c>
      <c r="D88" s="4" t="n">
        <v>137</v>
      </c>
      <c r="E88" s="4" t="n">
        <v>88</v>
      </c>
      <c r="F88" s="4" t="n">
        <v>0.6423</v>
      </c>
      <c r="G88" s="4" t="n">
        <v>2556430.16</v>
      </c>
      <c r="H88" s="4" t="n">
        <v>1.156</v>
      </c>
    </row>
    <row r="89" customFormat="false" ht="15" hidden="false" customHeight="false" outlineLevel="0" collapsed="false">
      <c r="A89" s="4" t="s">
        <v>47</v>
      </c>
      <c r="B89" s="4" t="s">
        <v>63</v>
      </c>
      <c r="C89" s="4" t="n">
        <v>16</v>
      </c>
      <c r="D89" s="4" t="n">
        <v>137</v>
      </c>
      <c r="E89" s="4" t="n">
        <v>86</v>
      </c>
      <c r="F89" s="4" t="n">
        <v>0.6277</v>
      </c>
      <c r="G89" s="4" t="n">
        <v>2851901.26</v>
      </c>
      <c r="H89" s="4" t="n">
        <v>1.2897</v>
      </c>
    </row>
    <row r="90" customFormat="false" ht="15" hidden="false" customHeight="false" outlineLevel="0" collapsed="false">
      <c r="A90" s="4" t="s">
        <v>47</v>
      </c>
      <c r="B90" s="4" t="s">
        <v>64</v>
      </c>
      <c r="C90" s="4" t="n">
        <v>17</v>
      </c>
      <c r="D90" s="4" t="n">
        <v>137</v>
      </c>
      <c r="E90" s="4" t="n">
        <v>94</v>
      </c>
      <c r="F90" s="4" t="n">
        <v>0.6861</v>
      </c>
      <c r="G90" s="4" t="n">
        <v>2817245.18</v>
      </c>
      <c r="H90" s="4" t="n">
        <v>1.274</v>
      </c>
    </row>
    <row r="91" customFormat="false" ht="15" hidden="false" customHeight="false" outlineLevel="0" collapsed="false">
      <c r="A91" s="4" t="s">
        <v>47</v>
      </c>
      <c r="B91" s="4" t="s">
        <v>65</v>
      </c>
      <c r="C91" s="4" t="n">
        <v>18</v>
      </c>
      <c r="D91" s="4" t="n">
        <v>137</v>
      </c>
      <c r="E91" s="4" t="n">
        <v>88</v>
      </c>
      <c r="F91" s="4" t="n">
        <v>0.6423</v>
      </c>
      <c r="G91" s="4" t="n">
        <v>2730359.58</v>
      </c>
      <c r="H91" s="4" t="n">
        <v>1.2347</v>
      </c>
    </row>
    <row r="92" customFormat="false" ht="15" hidden="false" customHeight="false" outlineLevel="0" collapsed="false">
      <c r="A92" s="4" t="s">
        <v>47</v>
      </c>
      <c r="B92" s="4" t="s">
        <v>66</v>
      </c>
      <c r="C92" s="4" t="n">
        <v>19</v>
      </c>
      <c r="D92" s="4" t="n">
        <v>137</v>
      </c>
      <c r="E92" s="4" t="n">
        <v>87</v>
      </c>
      <c r="F92" s="4" t="n">
        <v>0.635</v>
      </c>
      <c r="G92" s="4" t="n">
        <v>2627250.35</v>
      </c>
      <c r="H92" s="4" t="n">
        <v>1.1881</v>
      </c>
    </row>
    <row r="93" customFormat="false" ht="15" hidden="false" customHeight="false" outlineLevel="0" collapsed="false">
      <c r="A93" s="4" t="s">
        <v>47</v>
      </c>
      <c r="B93" s="4" t="s">
        <v>67</v>
      </c>
      <c r="C93" s="4" t="n">
        <v>20</v>
      </c>
      <c r="D93" s="4" t="n">
        <v>137</v>
      </c>
      <c r="E93" s="4" t="n">
        <v>89</v>
      </c>
      <c r="F93" s="4" t="n">
        <v>0.6496</v>
      </c>
      <c r="G93" s="4" t="n">
        <v>2612438.32</v>
      </c>
      <c r="H93" s="4" t="n">
        <v>1.1814</v>
      </c>
    </row>
    <row r="94" customFormat="false" ht="15" hidden="false" customHeight="false" outlineLevel="0" collapsed="false">
      <c r="A94" s="4" t="s">
        <v>48</v>
      </c>
      <c r="B94" s="4" t="s">
        <v>48</v>
      </c>
      <c r="C94" s="4" t="n">
        <v>0</v>
      </c>
      <c r="D94" s="4" t="n">
        <v>143</v>
      </c>
      <c r="E94" s="4" t="n">
        <v>143</v>
      </c>
      <c r="F94" s="4" t="n">
        <v>1</v>
      </c>
      <c r="G94" s="4" t="n">
        <v>2659572.79</v>
      </c>
      <c r="H94" s="4" t="n">
        <v>1</v>
      </c>
    </row>
    <row r="95" customFormat="false" ht="15" hidden="false" customHeight="false" outlineLevel="0" collapsed="false">
      <c r="A95" s="4" t="s">
        <v>48</v>
      </c>
      <c r="B95" s="4" t="s">
        <v>49</v>
      </c>
      <c r="C95" s="4" t="n">
        <v>1</v>
      </c>
      <c r="D95" s="4" t="n">
        <v>143</v>
      </c>
      <c r="E95" s="4" t="n">
        <v>129</v>
      </c>
      <c r="F95" s="4" t="n">
        <v>0.9021</v>
      </c>
      <c r="G95" s="4" t="n">
        <v>2964620.89</v>
      </c>
      <c r="H95" s="4" t="n">
        <v>1.1147</v>
      </c>
    </row>
    <row r="96" customFormat="false" ht="15" hidden="false" customHeight="false" outlineLevel="0" collapsed="false">
      <c r="A96" s="4" t="s">
        <v>48</v>
      </c>
      <c r="B96" s="4" t="s">
        <v>50</v>
      </c>
      <c r="C96" s="4" t="n">
        <v>2</v>
      </c>
      <c r="D96" s="4" t="n">
        <v>143</v>
      </c>
      <c r="E96" s="4" t="n">
        <v>119</v>
      </c>
      <c r="F96" s="4" t="n">
        <v>0.8322</v>
      </c>
      <c r="G96" s="4" t="n">
        <v>3181452.51</v>
      </c>
      <c r="H96" s="4" t="n">
        <v>1.1962</v>
      </c>
    </row>
    <row r="97" customFormat="false" ht="15" hidden="false" customHeight="false" outlineLevel="0" collapsed="false">
      <c r="A97" s="4" t="s">
        <v>48</v>
      </c>
      <c r="B97" s="4" t="s">
        <v>51</v>
      </c>
      <c r="C97" s="4" t="n">
        <v>3</v>
      </c>
      <c r="D97" s="4" t="n">
        <v>143</v>
      </c>
      <c r="E97" s="4" t="n">
        <v>110</v>
      </c>
      <c r="F97" s="4" t="n">
        <v>0.7692</v>
      </c>
      <c r="G97" s="4" t="n">
        <v>3811867.84</v>
      </c>
      <c r="H97" s="4" t="n">
        <v>1.4333</v>
      </c>
    </row>
    <row r="98" customFormat="false" ht="15" hidden="false" customHeight="false" outlineLevel="0" collapsed="false">
      <c r="A98" s="4" t="s">
        <v>48</v>
      </c>
      <c r="B98" s="4" t="s">
        <v>52</v>
      </c>
      <c r="C98" s="4" t="n">
        <v>4</v>
      </c>
      <c r="D98" s="4" t="n">
        <v>143</v>
      </c>
      <c r="E98" s="4" t="n">
        <v>106</v>
      </c>
      <c r="F98" s="4" t="n">
        <v>0.7413</v>
      </c>
      <c r="G98" s="4" t="n">
        <v>4077476.52</v>
      </c>
      <c r="H98" s="4" t="n">
        <v>1.5331</v>
      </c>
    </row>
    <row r="99" customFormat="false" ht="15" hidden="false" customHeight="false" outlineLevel="0" collapsed="false">
      <c r="A99" s="4" t="s">
        <v>48</v>
      </c>
      <c r="B99" s="4" t="s">
        <v>53</v>
      </c>
      <c r="C99" s="4" t="n">
        <v>5</v>
      </c>
      <c r="D99" s="4" t="n">
        <v>143</v>
      </c>
      <c r="E99" s="4" t="n">
        <v>113</v>
      </c>
      <c r="F99" s="4" t="n">
        <v>0.7902</v>
      </c>
      <c r="G99" s="4" t="n">
        <v>3802718.6</v>
      </c>
      <c r="H99" s="4" t="n">
        <v>1.4298</v>
      </c>
    </row>
    <row r="100" customFormat="false" ht="15" hidden="false" customHeight="false" outlineLevel="0" collapsed="false">
      <c r="A100" s="4" t="s">
        <v>48</v>
      </c>
      <c r="B100" s="4" t="s">
        <v>54</v>
      </c>
      <c r="C100" s="4" t="n">
        <v>6</v>
      </c>
      <c r="D100" s="4" t="n">
        <v>143</v>
      </c>
      <c r="E100" s="4" t="n">
        <v>108</v>
      </c>
      <c r="F100" s="4" t="n">
        <v>0.7552</v>
      </c>
      <c r="G100" s="4" t="n">
        <v>3296589.19</v>
      </c>
      <c r="H100" s="4" t="n">
        <v>1.2395</v>
      </c>
    </row>
    <row r="101" customFormat="false" ht="15" hidden="false" customHeight="false" outlineLevel="0" collapsed="false">
      <c r="A101" s="4" t="s">
        <v>48</v>
      </c>
      <c r="B101" s="4" t="s">
        <v>55</v>
      </c>
      <c r="C101" s="4" t="n">
        <v>7</v>
      </c>
      <c r="D101" s="4" t="n">
        <v>143</v>
      </c>
      <c r="E101" s="4" t="n">
        <v>106</v>
      </c>
      <c r="F101" s="4" t="n">
        <v>0.7413</v>
      </c>
      <c r="G101" s="4" t="n">
        <v>2974155.99</v>
      </c>
      <c r="H101" s="4" t="n">
        <v>1.1183</v>
      </c>
    </row>
    <row r="102" customFormat="false" ht="15" hidden="false" customHeight="false" outlineLevel="0" collapsed="false">
      <c r="A102" s="4" t="s">
        <v>48</v>
      </c>
      <c r="B102" s="4" t="s">
        <v>56</v>
      </c>
      <c r="C102" s="4" t="n">
        <v>8</v>
      </c>
      <c r="D102" s="4" t="n">
        <v>143</v>
      </c>
      <c r="E102" s="4" t="n">
        <v>107</v>
      </c>
      <c r="F102" s="4" t="n">
        <v>0.7483</v>
      </c>
      <c r="G102" s="4" t="n">
        <v>3205034.32</v>
      </c>
      <c r="H102" s="4" t="n">
        <v>1.2051</v>
      </c>
    </row>
    <row r="103" customFormat="false" ht="15" hidden="false" customHeight="false" outlineLevel="0" collapsed="false">
      <c r="A103" s="4" t="s">
        <v>48</v>
      </c>
      <c r="B103" s="4" t="s">
        <v>57</v>
      </c>
      <c r="C103" s="4" t="n">
        <v>9</v>
      </c>
      <c r="D103" s="4" t="n">
        <v>143</v>
      </c>
      <c r="E103" s="4" t="n">
        <v>107</v>
      </c>
      <c r="F103" s="4" t="n">
        <v>0.7483</v>
      </c>
      <c r="G103" s="4" t="n">
        <v>4111631.85</v>
      </c>
      <c r="H103" s="4" t="n">
        <v>1.546</v>
      </c>
    </row>
    <row r="104" customFormat="false" ht="15" hidden="false" customHeight="false" outlineLevel="0" collapsed="false">
      <c r="A104" s="4" t="s">
        <v>48</v>
      </c>
      <c r="B104" s="4" t="s">
        <v>58</v>
      </c>
      <c r="C104" s="4" t="n">
        <v>10</v>
      </c>
      <c r="D104" s="4" t="n">
        <v>143</v>
      </c>
      <c r="E104" s="4" t="n">
        <v>101</v>
      </c>
      <c r="F104" s="4" t="n">
        <v>0.7063</v>
      </c>
      <c r="G104" s="4" t="n">
        <v>4928653.81</v>
      </c>
      <c r="H104" s="4" t="n">
        <v>1.8532</v>
      </c>
    </row>
    <row r="105" customFormat="false" ht="15" hidden="false" customHeight="false" outlineLevel="0" collapsed="false">
      <c r="A105" s="4" t="s">
        <v>48</v>
      </c>
      <c r="B105" s="4" t="s">
        <v>59</v>
      </c>
      <c r="C105" s="4" t="n">
        <v>11</v>
      </c>
      <c r="D105" s="4" t="n">
        <v>143</v>
      </c>
      <c r="E105" s="4" t="n">
        <v>98</v>
      </c>
      <c r="F105" s="4" t="n">
        <v>0.6853</v>
      </c>
      <c r="G105" s="4" t="n">
        <v>4626986.66</v>
      </c>
      <c r="H105" s="4" t="n">
        <v>1.7397</v>
      </c>
    </row>
    <row r="106" customFormat="false" ht="15" hidden="false" customHeight="false" outlineLevel="0" collapsed="false">
      <c r="A106" s="4" t="s">
        <v>48</v>
      </c>
      <c r="B106" s="4" t="s">
        <v>60</v>
      </c>
      <c r="C106" s="4" t="n">
        <v>12</v>
      </c>
      <c r="D106" s="4" t="n">
        <v>143</v>
      </c>
      <c r="E106" s="4" t="n">
        <v>95</v>
      </c>
      <c r="F106" s="4" t="n">
        <v>0.6643</v>
      </c>
      <c r="G106" s="4" t="n">
        <v>3378550.34</v>
      </c>
      <c r="H106" s="4" t="n">
        <v>1.2703</v>
      </c>
    </row>
    <row r="107" customFormat="false" ht="15" hidden="false" customHeight="false" outlineLevel="0" collapsed="false">
      <c r="A107" s="4" t="s">
        <v>48</v>
      </c>
      <c r="B107" s="4" t="s">
        <v>61</v>
      </c>
      <c r="C107" s="4" t="n">
        <v>13</v>
      </c>
      <c r="D107" s="4" t="n">
        <v>143</v>
      </c>
      <c r="E107" s="4" t="n">
        <v>96</v>
      </c>
      <c r="F107" s="4" t="n">
        <v>0.6713</v>
      </c>
      <c r="G107" s="4" t="n">
        <v>3135685.34</v>
      </c>
      <c r="H107" s="4" t="n">
        <v>1.179</v>
      </c>
    </row>
    <row r="108" customFormat="false" ht="15" hidden="false" customHeight="false" outlineLevel="0" collapsed="false">
      <c r="A108" s="4" t="s">
        <v>48</v>
      </c>
      <c r="B108" s="4" t="s">
        <v>62</v>
      </c>
      <c r="C108" s="4" t="n">
        <v>14</v>
      </c>
      <c r="D108" s="4" t="n">
        <v>143</v>
      </c>
      <c r="E108" s="4" t="n">
        <v>94</v>
      </c>
      <c r="F108" s="4" t="n">
        <v>0.6573</v>
      </c>
      <c r="G108" s="4" t="n">
        <v>3187445</v>
      </c>
      <c r="H108" s="4" t="n">
        <v>1.1985</v>
      </c>
    </row>
    <row r="109" customFormat="false" ht="15" hidden="false" customHeight="false" outlineLevel="0" collapsed="false">
      <c r="A109" s="4" t="s">
        <v>48</v>
      </c>
      <c r="B109" s="4" t="s">
        <v>63</v>
      </c>
      <c r="C109" s="4" t="n">
        <v>15</v>
      </c>
      <c r="D109" s="4" t="n">
        <v>143</v>
      </c>
      <c r="E109" s="4" t="n">
        <v>96</v>
      </c>
      <c r="F109" s="4" t="n">
        <v>0.6713</v>
      </c>
      <c r="G109" s="4" t="n">
        <v>3474566.81</v>
      </c>
      <c r="H109" s="4" t="n">
        <v>1.3064</v>
      </c>
    </row>
    <row r="110" customFormat="false" ht="15" hidden="false" customHeight="false" outlineLevel="0" collapsed="false">
      <c r="A110" s="4" t="s">
        <v>48</v>
      </c>
      <c r="B110" s="4" t="s">
        <v>64</v>
      </c>
      <c r="C110" s="4" t="n">
        <v>16</v>
      </c>
      <c r="D110" s="4" t="n">
        <v>143</v>
      </c>
      <c r="E110" s="4" t="n">
        <v>95</v>
      </c>
      <c r="F110" s="4" t="n">
        <v>0.6643</v>
      </c>
      <c r="G110" s="4" t="n">
        <v>3314011.21</v>
      </c>
      <c r="H110" s="4" t="n">
        <v>1.2461</v>
      </c>
    </row>
    <row r="111" customFormat="false" ht="15" hidden="false" customHeight="false" outlineLevel="0" collapsed="false">
      <c r="A111" s="4" t="s">
        <v>48</v>
      </c>
      <c r="B111" s="4" t="s">
        <v>65</v>
      </c>
      <c r="C111" s="4" t="n">
        <v>17</v>
      </c>
      <c r="D111" s="4" t="n">
        <v>143</v>
      </c>
      <c r="E111" s="4" t="n">
        <v>92</v>
      </c>
      <c r="F111" s="4" t="n">
        <v>0.6434</v>
      </c>
      <c r="G111" s="4" t="n">
        <v>3444442.43</v>
      </c>
      <c r="H111" s="4" t="n">
        <v>1.2951</v>
      </c>
    </row>
    <row r="112" customFormat="false" ht="15" hidden="false" customHeight="false" outlineLevel="0" collapsed="false">
      <c r="A112" s="4" t="s">
        <v>48</v>
      </c>
      <c r="B112" s="4" t="s">
        <v>66</v>
      </c>
      <c r="C112" s="4" t="n">
        <v>18</v>
      </c>
      <c r="D112" s="4" t="n">
        <v>143</v>
      </c>
      <c r="E112" s="4" t="n">
        <v>94</v>
      </c>
      <c r="F112" s="4" t="n">
        <v>0.6573</v>
      </c>
      <c r="G112" s="4" t="n">
        <v>3038219.89</v>
      </c>
      <c r="H112" s="4" t="n">
        <v>1.1424</v>
      </c>
    </row>
    <row r="113" customFormat="false" ht="15" hidden="false" customHeight="false" outlineLevel="0" collapsed="false">
      <c r="A113" s="4" t="s">
        <v>48</v>
      </c>
      <c r="B113" s="4" t="s">
        <v>67</v>
      </c>
      <c r="C113" s="4" t="n">
        <v>19</v>
      </c>
      <c r="D113" s="4" t="n">
        <v>143</v>
      </c>
      <c r="E113" s="4" t="n">
        <v>98</v>
      </c>
      <c r="F113" s="4" t="n">
        <v>0.6853</v>
      </c>
      <c r="G113" s="4" t="n">
        <v>2921302.21</v>
      </c>
      <c r="H113" s="4" t="n">
        <v>1.0984</v>
      </c>
    </row>
    <row r="114" customFormat="false" ht="15" hidden="false" customHeight="false" outlineLevel="0" collapsed="false">
      <c r="A114" s="4" t="s">
        <v>49</v>
      </c>
      <c r="B114" s="4" t="s">
        <v>49</v>
      </c>
      <c r="C114" s="4" t="n">
        <v>0</v>
      </c>
      <c r="D114" s="4" t="n">
        <v>127</v>
      </c>
      <c r="E114" s="4" t="n">
        <v>127</v>
      </c>
      <c r="F114" s="4" t="n">
        <v>1</v>
      </c>
      <c r="G114" s="4" t="n">
        <v>1481285.6</v>
      </c>
      <c r="H114" s="4" t="n">
        <v>1</v>
      </c>
    </row>
    <row r="115" customFormat="false" ht="15" hidden="false" customHeight="false" outlineLevel="0" collapsed="false">
      <c r="A115" s="4" t="s">
        <v>49</v>
      </c>
      <c r="B115" s="4" t="s">
        <v>50</v>
      </c>
      <c r="C115" s="4" t="n">
        <v>1</v>
      </c>
      <c r="D115" s="4" t="n">
        <v>127</v>
      </c>
      <c r="E115" s="4" t="n">
        <v>110</v>
      </c>
      <c r="F115" s="4" t="n">
        <v>0.8661</v>
      </c>
      <c r="G115" s="4" t="n">
        <v>1452953.99</v>
      </c>
      <c r="H115" s="4" t="n">
        <v>0.9809</v>
      </c>
    </row>
    <row r="116" customFormat="false" ht="15" hidden="false" customHeight="false" outlineLevel="0" collapsed="false">
      <c r="A116" s="4" t="s">
        <v>49</v>
      </c>
      <c r="B116" s="4" t="s">
        <v>51</v>
      </c>
      <c r="C116" s="4" t="n">
        <v>2</v>
      </c>
      <c r="D116" s="4" t="n">
        <v>127</v>
      </c>
      <c r="E116" s="4" t="n">
        <v>102</v>
      </c>
      <c r="F116" s="4" t="n">
        <v>0.8031</v>
      </c>
      <c r="G116" s="4" t="n">
        <v>1803884.33</v>
      </c>
      <c r="H116" s="4" t="n">
        <v>1.2178</v>
      </c>
    </row>
    <row r="117" customFormat="false" ht="15" hidden="false" customHeight="false" outlineLevel="0" collapsed="false">
      <c r="A117" s="4" t="s">
        <v>49</v>
      </c>
      <c r="B117" s="4" t="s">
        <v>52</v>
      </c>
      <c r="C117" s="4" t="n">
        <v>3</v>
      </c>
      <c r="D117" s="4" t="n">
        <v>127</v>
      </c>
      <c r="E117" s="4" t="n">
        <v>92</v>
      </c>
      <c r="F117" s="4" t="n">
        <v>0.7244</v>
      </c>
      <c r="G117" s="4" t="n">
        <v>1850758.81</v>
      </c>
      <c r="H117" s="4" t="n">
        <v>1.2494</v>
      </c>
    </row>
    <row r="118" customFormat="false" ht="15" hidden="false" customHeight="false" outlineLevel="0" collapsed="false">
      <c r="A118" s="4" t="s">
        <v>49</v>
      </c>
      <c r="B118" s="4" t="s">
        <v>53</v>
      </c>
      <c r="C118" s="4" t="n">
        <v>4</v>
      </c>
      <c r="D118" s="4" t="n">
        <v>127</v>
      </c>
      <c r="E118" s="4" t="n">
        <v>90</v>
      </c>
      <c r="F118" s="4" t="n">
        <v>0.7087</v>
      </c>
      <c r="G118" s="4" t="n">
        <v>2012639.48</v>
      </c>
      <c r="H118" s="4" t="n">
        <v>1.3587</v>
      </c>
    </row>
    <row r="119" customFormat="false" ht="15" hidden="false" customHeight="false" outlineLevel="0" collapsed="false">
      <c r="A119" s="4" t="s">
        <v>49</v>
      </c>
      <c r="B119" s="4" t="s">
        <v>54</v>
      </c>
      <c r="C119" s="4" t="n">
        <v>5</v>
      </c>
      <c r="D119" s="4" t="n">
        <v>127</v>
      </c>
      <c r="E119" s="4" t="n">
        <v>87</v>
      </c>
      <c r="F119" s="4" t="n">
        <v>0.685</v>
      </c>
      <c r="G119" s="4" t="n">
        <v>1847352.72</v>
      </c>
      <c r="H119" s="4" t="n">
        <v>1.2471</v>
      </c>
    </row>
    <row r="120" customFormat="false" ht="15" hidden="false" customHeight="false" outlineLevel="0" collapsed="false">
      <c r="A120" s="4" t="s">
        <v>49</v>
      </c>
      <c r="B120" s="4" t="s">
        <v>55</v>
      </c>
      <c r="C120" s="4" t="n">
        <v>6</v>
      </c>
      <c r="D120" s="4" t="n">
        <v>127</v>
      </c>
      <c r="E120" s="4" t="n">
        <v>92</v>
      </c>
      <c r="F120" s="4" t="n">
        <v>0.7244</v>
      </c>
      <c r="G120" s="4" t="n">
        <v>1761053.08</v>
      </c>
      <c r="H120" s="4" t="n">
        <v>1.1889</v>
      </c>
    </row>
    <row r="121" customFormat="false" ht="15" hidden="false" customHeight="false" outlineLevel="0" collapsed="false">
      <c r="A121" s="4" t="s">
        <v>49</v>
      </c>
      <c r="B121" s="4" t="s">
        <v>56</v>
      </c>
      <c r="C121" s="4" t="n">
        <v>7</v>
      </c>
      <c r="D121" s="4" t="n">
        <v>127</v>
      </c>
      <c r="E121" s="4" t="n">
        <v>91</v>
      </c>
      <c r="F121" s="4" t="n">
        <v>0.7165</v>
      </c>
      <c r="G121" s="4" t="n">
        <v>1730706.84</v>
      </c>
      <c r="H121" s="4" t="n">
        <v>1.1684</v>
      </c>
    </row>
    <row r="122" customFormat="false" ht="15" hidden="false" customHeight="false" outlineLevel="0" collapsed="false">
      <c r="A122" s="4" t="s">
        <v>49</v>
      </c>
      <c r="B122" s="4" t="s">
        <v>57</v>
      </c>
      <c r="C122" s="4" t="n">
        <v>8</v>
      </c>
      <c r="D122" s="4" t="n">
        <v>127</v>
      </c>
      <c r="E122" s="4" t="n">
        <v>85</v>
      </c>
      <c r="F122" s="4" t="n">
        <v>0.6693</v>
      </c>
      <c r="G122" s="4" t="n">
        <v>1849018.12</v>
      </c>
      <c r="H122" s="4" t="n">
        <v>1.2483</v>
      </c>
    </row>
    <row r="123" customFormat="false" ht="15" hidden="false" customHeight="false" outlineLevel="0" collapsed="false">
      <c r="A123" s="4" t="s">
        <v>49</v>
      </c>
      <c r="B123" s="4" t="s">
        <v>58</v>
      </c>
      <c r="C123" s="4" t="n">
        <v>9</v>
      </c>
      <c r="D123" s="4" t="n">
        <v>127</v>
      </c>
      <c r="E123" s="4" t="n">
        <v>92</v>
      </c>
      <c r="F123" s="4" t="n">
        <v>0.7244</v>
      </c>
      <c r="G123" s="4" t="n">
        <v>2319825.92</v>
      </c>
      <c r="H123" s="4" t="n">
        <v>1.5661</v>
      </c>
    </row>
    <row r="124" customFormat="false" ht="15" hidden="false" customHeight="false" outlineLevel="0" collapsed="false">
      <c r="A124" s="4" t="s">
        <v>49</v>
      </c>
      <c r="B124" s="4" t="s">
        <v>59</v>
      </c>
      <c r="C124" s="4" t="n">
        <v>10</v>
      </c>
      <c r="D124" s="4" t="n">
        <v>127</v>
      </c>
      <c r="E124" s="4" t="n">
        <v>89</v>
      </c>
      <c r="F124" s="4" t="n">
        <v>0.7008</v>
      </c>
      <c r="G124" s="4" t="n">
        <v>2189193.45</v>
      </c>
      <c r="H124" s="4" t="n">
        <v>1.4779</v>
      </c>
    </row>
    <row r="125" customFormat="false" ht="15" hidden="false" customHeight="false" outlineLevel="0" collapsed="false">
      <c r="A125" s="4" t="s">
        <v>49</v>
      </c>
      <c r="B125" s="4" t="s">
        <v>60</v>
      </c>
      <c r="C125" s="4" t="n">
        <v>11</v>
      </c>
      <c r="D125" s="4" t="n">
        <v>127</v>
      </c>
      <c r="E125" s="4" t="n">
        <v>80</v>
      </c>
      <c r="F125" s="4" t="n">
        <v>0.6299</v>
      </c>
      <c r="G125" s="4" t="n">
        <v>1960569.57</v>
      </c>
      <c r="H125" s="4" t="n">
        <v>1.3236</v>
      </c>
    </row>
    <row r="126" customFormat="false" ht="15" hidden="false" customHeight="false" outlineLevel="0" collapsed="false">
      <c r="A126" s="4" t="s">
        <v>49</v>
      </c>
      <c r="B126" s="4" t="s">
        <v>61</v>
      </c>
      <c r="C126" s="4" t="n">
        <v>12</v>
      </c>
      <c r="D126" s="4" t="n">
        <v>127</v>
      </c>
      <c r="E126" s="4" t="n">
        <v>79</v>
      </c>
      <c r="F126" s="4" t="n">
        <v>0.622</v>
      </c>
      <c r="G126" s="4" t="n">
        <v>1796157.67</v>
      </c>
      <c r="H126" s="4" t="n">
        <v>1.2126</v>
      </c>
    </row>
    <row r="127" customFormat="false" ht="15" hidden="false" customHeight="false" outlineLevel="0" collapsed="false">
      <c r="A127" s="4" t="s">
        <v>49</v>
      </c>
      <c r="B127" s="4" t="s">
        <v>62</v>
      </c>
      <c r="C127" s="4" t="n">
        <v>13</v>
      </c>
      <c r="D127" s="4" t="n">
        <v>127</v>
      </c>
      <c r="E127" s="4" t="n">
        <v>82</v>
      </c>
      <c r="F127" s="4" t="n">
        <v>0.6457</v>
      </c>
      <c r="G127" s="4" t="n">
        <v>1831927.02</v>
      </c>
      <c r="H127" s="4" t="n">
        <v>1.2367</v>
      </c>
    </row>
    <row r="128" customFormat="false" ht="15" hidden="false" customHeight="false" outlineLevel="0" collapsed="false">
      <c r="A128" s="4" t="s">
        <v>49</v>
      </c>
      <c r="B128" s="4" t="s">
        <v>63</v>
      </c>
      <c r="C128" s="4" t="n">
        <v>14</v>
      </c>
      <c r="D128" s="4" t="n">
        <v>127</v>
      </c>
      <c r="E128" s="4" t="n">
        <v>86</v>
      </c>
      <c r="F128" s="4" t="n">
        <v>0.6772</v>
      </c>
      <c r="G128" s="4" t="n">
        <v>2103456.24</v>
      </c>
      <c r="H128" s="4" t="n">
        <v>1.42</v>
      </c>
    </row>
    <row r="129" customFormat="false" ht="15" hidden="false" customHeight="false" outlineLevel="0" collapsed="false">
      <c r="A129" s="4" t="s">
        <v>49</v>
      </c>
      <c r="B129" s="4" t="s">
        <v>64</v>
      </c>
      <c r="C129" s="4" t="n">
        <v>15</v>
      </c>
      <c r="D129" s="4" t="n">
        <v>127</v>
      </c>
      <c r="E129" s="4" t="n">
        <v>87</v>
      </c>
      <c r="F129" s="4" t="n">
        <v>0.685</v>
      </c>
      <c r="G129" s="4" t="n">
        <v>2092824.07</v>
      </c>
      <c r="H129" s="4" t="n">
        <v>1.4128</v>
      </c>
    </row>
    <row r="130" customFormat="false" ht="15" hidden="false" customHeight="false" outlineLevel="0" collapsed="false">
      <c r="A130" s="4" t="s">
        <v>49</v>
      </c>
      <c r="B130" s="4" t="s">
        <v>65</v>
      </c>
      <c r="C130" s="4" t="n">
        <v>16</v>
      </c>
      <c r="D130" s="4" t="n">
        <v>127</v>
      </c>
      <c r="E130" s="4" t="n">
        <v>91</v>
      </c>
      <c r="F130" s="4" t="n">
        <v>0.7165</v>
      </c>
      <c r="G130" s="4" t="n">
        <v>2085582.77</v>
      </c>
      <c r="H130" s="4" t="n">
        <v>1.408</v>
      </c>
    </row>
    <row r="131" customFormat="false" ht="15" hidden="false" customHeight="false" outlineLevel="0" collapsed="false">
      <c r="A131" s="4" t="s">
        <v>49</v>
      </c>
      <c r="B131" s="4" t="s">
        <v>66</v>
      </c>
      <c r="C131" s="4" t="n">
        <v>17</v>
      </c>
      <c r="D131" s="4" t="n">
        <v>127</v>
      </c>
      <c r="E131" s="4" t="n">
        <v>92</v>
      </c>
      <c r="F131" s="4" t="n">
        <v>0.7244</v>
      </c>
      <c r="G131" s="4" t="n">
        <v>2012799.21</v>
      </c>
      <c r="H131" s="4" t="n">
        <v>1.3588</v>
      </c>
    </row>
    <row r="132" customFormat="false" ht="15" hidden="false" customHeight="false" outlineLevel="0" collapsed="false">
      <c r="A132" s="4" t="s">
        <v>49</v>
      </c>
      <c r="B132" s="4" t="s">
        <v>67</v>
      </c>
      <c r="C132" s="4" t="n">
        <v>18</v>
      </c>
      <c r="D132" s="4" t="n">
        <v>127</v>
      </c>
      <c r="E132" s="4" t="n">
        <v>88</v>
      </c>
      <c r="F132" s="4" t="n">
        <v>0.6929</v>
      </c>
      <c r="G132" s="4" t="n">
        <v>1939847.74</v>
      </c>
      <c r="H132" s="4" t="n">
        <v>1.3096</v>
      </c>
    </row>
    <row r="133" customFormat="false" ht="15" hidden="false" customHeight="false" outlineLevel="0" collapsed="false">
      <c r="A133" s="4" t="s">
        <v>50</v>
      </c>
      <c r="B133" s="4" t="s">
        <v>50</v>
      </c>
      <c r="C133" s="4" t="n">
        <v>0</v>
      </c>
      <c r="D133" s="4" t="n">
        <v>127</v>
      </c>
      <c r="E133" s="4" t="n">
        <v>127</v>
      </c>
      <c r="F133" s="4" t="n">
        <v>1</v>
      </c>
      <c r="G133" s="4" t="n">
        <v>1743618.57</v>
      </c>
      <c r="H133" s="4" t="n">
        <v>1</v>
      </c>
    </row>
    <row r="134" customFormat="false" ht="15" hidden="false" customHeight="false" outlineLevel="0" collapsed="false">
      <c r="A134" s="4" t="s">
        <v>50</v>
      </c>
      <c r="B134" s="4" t="s">
        <v>51</v>
      </c>
      <c r="C134" s="4" t="n">
        <v>1</v>
      </c>
      <c r="D134" s="4" t="n">
        <v>127</v>
      </c>
      <c r="E134" s="4" t="n">
        <v>117</v>
      </c>
      <c r="F134" s="4" t="n">
        <v>0.9213</v>
      </c>
      <c r="G134" s="4" t="n">
        <v>2188353.95</v>
      </c>
      <c r="H134" s="4" t="n">
        <v>1.2551</v>
      </c>
    </row>
    <row r="135" customFormat="false" ht="15" hidden="false" customHeight="false" outlineLevel="0" collapsed="false">
      <c r="A135" s="4" t="s">
        <v>50</v>
      </c>
      <c r="B135" s="4" t="s">
        <v>52</v>
      </c>
      <c r="C135" s="4" t="n">
        <v>2</v>
      </c>
      <c r="D135" s="4" t="n">
        <v>127</v>
      </c>
      <c r="E135" s="4" t="n">
        <v>108</v>
      </c>
      <c r="F135" s="4" t="n">
        <v>0.8504</v>
      </c>
      <c r="G135" s="4" t="n">
        <v>2297506.71</v>
      </c>
      <c r="H135" s="4" t="n">
        <v>1.3177</v>
      </c>
    </row>
    <row r="136" customFormat="false" ht="15" hidden="false" customHeight="false" outlineLevel="0" collapsed="false">
      <c r="A136" s="4" t="s">
        <v>50</v>
      </c>
      <c r="B136" s="4" t="s">
        <v>53</v>
      </c>
      <c r="C136" s="4" t="n">
        <v>3</v>
      </c>
      <c r="D136" s="4" t="n">
        <v>127</v>
      </c>
      <c r="E136" s="4" t="n">
        <v>101</v>
      </c>
      <c r="F136" s="4" t="n">
        <v>0.7953</v>
      </c>
      <c r="G136" s="4" t="n">
        <v>2346750.35</v>
      </c>
      <c r="H136" s="4" t="n">
        <v>1.3459</v>
      </c>
    </row>
    <row r="137" customFormat="false" ht="15" hidden="false" customHeight="false" outlineLevel="0" collapsed="false">
      <c r="A137" s="4" t="s">
        <v>50</v>
      </c>
      <c r="B137" s="4" t="s">
        <v>54</v>
      </c>
      <c r="C137" s="4" t="n">
        <v>4</v>
      </c>
      <c r="D137" s="4" t="n">
        <v>127</v>
      </c>
      <c r="E137" s="4" t="n">
        <v>100</v>
      </c>
      <c r="F137" s="4" t="n">
        <v>0.7874</v>
      </c>
      <c r="G137" s="4" t="n">
        <v>2430509.18</v>
      </c>
      <c r="H137" s="4" t="n">
        <v>1.3939</v>
      </c>
    </row>
    <row r="138" customFormat="false" ht="15" hidden="false" customHeight="false" outlineLevel="0" collapsed="false">
      <c r="A138" s="4" t="s">
        <v>50</v>
      </c>
      <c r="B138" s="4" t="s">
        <v>55</v>
      </c>
      <c r="C138" s="4" t="n">
        <v>5</v>
      </c>
      <c r="D138" s="4" t="n">
        <v>127</v>
      </c>
      <c r="E138" s="4" t="n">
        <v>98</v>
      </c>
      <c r="F138" s="4" t="n">
        <v>0.7717</v>
      </c>
      <c r="G138" s="4" t="n">
        <v>2310964.02</v>
      </c>
      <c r="H138" s="4" t="n">
        <v>1.3254</v>
      </c>
    </row>
    <row r="139" customFormat="false" ht="15" hidden="false" customHeight="false" outlineLevel="0" collapsed="false">
      <c r="A139" s="4" t="s">
        <v>50</v>
      </c>
      <c r="B139" s="4" t="s">
        <v>56</v>
      </c>
      <c r="C139" s="4" t="n">
        <v>6</v>
      </c>
      <c r="D139" s="4" t="n">
        <v>127</v>
      </c>
      <c r="E139" s="4" t="n">
        <v>96</v>
      </c>
      <c r="F139" s="4" t="n">
        <v>0.7559</v>
      </c>
      <c r="G139" s="4" t="n">
        <v>2564546.33</v>
      </c>
      <c r="H139" s="4" t="n">
        <v>1.4708</v>
      </c>
    </row>
    <row r="140" customFormat="false" ht="15" hidden="false" customHeight="false" outlineLevel="0" collapsed="false">
      <c r="A140" s="4" t="s">
        <v>50</v>
      </c>
      <c r="B140" s="4" t="s">
        <v>57</v>
      </c>
      <c r="C140" s="4" t="n">
        <v>7</v>
      </c>
      <c r="D140" s="4" t="n">
        <v>127</v>
      </c>
      <c r="E140" s="4" t="n">
        <v>100</v>
      </c>
      <c r="F140" s="4" t="n">
        <v>0.7874</v>
      </c>
      <c r="G140" s="4" t="n">
        <v>2602556.33</v>
      </c>
      <c r="H140" s="4" t="n">
        <v>1.4926</v>
      </c>
    </row>
    <row r="141" customFormat="false" ht="15" hidden="false" customHeight="false" outlineLevel="0" collapsed="false">
      <c r="A141" s="4" t="s">
        <v>50</v>
      </c>
      <c r="B141" s="4" t="s">
        <v>58</v>
      </c>
      <c r="C141" s="4" t="n">
        <v>8</v>
      </c>
      <c r="D141" s="4" t="n">
        <v>127</v>
      </c>
      <c r="E141" s="4" t="n">
        <v>95</v>
      </c>
      <c r="F141" s="4" t="n">
        <v>0.748</v>
      </c>
      <c r="G141" s="4" t="n">
        <v>2856602.1</v>
      </c>
      <c r="H141" s="4" t="n">
        <v>1.6383</v>
      </c>
    </row>
    <row r="142" customFormat="false" ht="15" hidden="false" customHeight="false" outlineLevel="0" collapsed="false">
      <c r="A142" s="4" t="s">
        <v>50</v>
      </c>
      <c r="B142" s="4" t="s">
        <v>59</v>
      </c>
      <c r="C142" s="4" t="n">
        <v>9</v>
      </c>
      <c r="D142" s="4" t="n">
        <v>127</v>
      </c>
      <c r="E142" s="4" t="n">
        <v>89</v>
      </c>
      <c r="F142" s="4" t="n">
        <v>0.7008</v>
      </c>
      <c r="G142" s="4" t="n">
        <v>2799681.16</v>
      </c>
      <c r="H142" s="4" t="n">
        <v>1.6057</v>
      </c>
    </row>
    <row r="143" customFormat="false" ht="15" hidden="false" customHeight="false" outlineLevel="0" collapsed="false">
      <c r="A143" s="4" t="s">
        <v>50</v>
      </c>
      <c r="B143" s="4" t="s">
        <v>60</v>
      </c>
      <c r="C143" s="4" t="n">
        <v>10</v>
      </c>
      <c r="D143" s="4" t="n">
        <v>127</v>
      </c>
      <c r="E143" s="4" t="n">
        <v>96</v>
      </c>
      <c r="F143" s="4" t="n">
        <v>0.7559</v>
      </c>
      <c r="G143" s="4" t="n">
        <v>2678560.57</v>
      </c>
      <c r="H143" s="4" t="n">
        <v>1.5362</v>
      </c>
    </row>
    <row r="144" customFormat="false" ht="15" hidden="false" customHeight="false" outlineLevel="0" collapsed="false">
      <c r="A144" s="4" t="s">
        <v>50</v>
      </c>
      <c r="B144" s="4" t="s">
        <v>61</v>
      </c>
      <c r="C144" s="4" t="n">
        <v>11</v>
      </c>
      <c r="D144" s="4" t="n">
        <v>127</v>
      </c>
      <c r="E144" s="4" t="n">
        <v>95</v>
      </c>
      <c r="F144" s="4" t="n">
        <v>0.748</v>
      </c>
      <c r="G144" s="4" t="n">
        <v>2359704.31</v>
      </c>
      <c r="H144" s="4" t="n">
        <v>1.3533</v>
      </c>
    </row>
    <row r="145" customFormat="false" ht="15" hidden="false" customHeight="false" outlineLevel="0" collapsed="false">
      <c r="A145" s="4" t="s">
        <v>50</v>
      </c>
      <c r="B145" s="4" t="s">
        <v>62</v>
      </c>
      <c r="C145" s="4" t="n">
        <v>12</v>
      </c>
      <c r="D145" s="4" t="n">
        <v>127</v>
      </c>
      <c r="E145" s="4" t="n">
        <v>85</v>
      </c>
      <c r="F145" s="4" t="n">
        <v>0.6693</v>
      </c>
      <c r="G145" s="4" t="n">
        <v>2094418.55</v>
      </c>
      <c r="H145" s="4" t="n">
        <v>1.2012</v>
      </c>
    </row>
    <row r="146" customFormat="false" ht="15" hidden="false" customHeight="false" outlineLevel="0" collapsed="false">
      <c r="A146" s="4" t="s">
        <v>50</v>
      </c>
      <c r="B146" s="4" t="s">
        <v>63</v>
      </c>
      <c r="C146" s="4" t="n">
        <v>13</v>
      </c>
      <c r="D146" s="4" t="n">
        <v>127</v>
      </c>
      <c r="E146" s="4" t="n">
        <v>86</v>
      </c>
      <c r="F146" s="4" t="n">
        <v>0.6772</v>
      </c>
      <c r="G146" s="4" t="n">
        <v>2517811.51</v>
      </c>
      <c r="H146" s="4" t="n">
        <v>1.444</v>
      </c>
    </row>
    <row r="147" customFormat="false" ht="15" hidden="false" customHeight="false" outlineLevel="0" collapsed="false">
      <c r="A147" s="4" t="s">
        <v>50</v>
      </c>
      <c r="B147" s="4" t="s">
        <v>64</v>
      </c>
      <c r="C147" s="4" t="n">
        <v>14</v>
      </c>
      <c r="D147" s="4" t="n">
        <v>127</v>
      </c>
      <c r="E147" s="4" t="n">
        <v>88</v>
      </c>
      <c r="F147" s="4" t="n">
        <v>0.6929</v>
      </c>
      <c r="G147" s="4" t="n">
        <v>2366569.64</v>
      </c>
      <c r="H147" s="4" t="n">
        <v>1.3573</v>
      </c>
    </row>
    <row r="148" customFormat="false" ht="15" hidden="false" customHeight="false" outlineLevel="0" collapsed="false">
      <c r="A148" s="4" t="s">
        <v>50</v>
      </c>
      <c r="B148" s="4" t="s">
        <v>65</v>
      </c>
      <c r="C148" s="4" t="n">
        <v>15</v>
      </c>
      <c r="D148" s="4" t="n">
        <v>127</v>
      </c>
      <c r="E148" s="4" t="n">
        <v>90</v>
      </c>
      <c r="F148" s="4" t="n">
        <v>0.7087</v>
      </c>
      <c r="G148" s="4" t="n">
        <v>2461837.36</v>
      </c>
      <c r="H148" s="4" t="n">
        <v>1.4119</v>
      </c>
    </row>
    <row r="149" customFormat="false" ht="15" hidden="false" customHeight="false" outlineLevel="0" collapsed="false">
      <c r="A149" s="4" t="s">
        <v>50</v>
      </c>
      <c r="B149" s="4" t="s">
        <v>66</v>
      </c>
      <c r="C149" s="4" t="n">
        <v>16</v>
      </c>
      <c r="D149" s="4" t="n">
        <v>127</v>
      </c>
      <c r="E149" s="4" t="n">
        <v>87</v>
      </c>
      <c r="F149" s="4" t="n">
        <v>0.685</v>
      </c>
      <c r="G149" s="4" t="n">
        <v>2215429.34</v>
      </c>
      <c r="H149" s="4" t="n">
        <v>1.2706</v>
      </c>
    </row>
    <row r="150" customFormat="false" ht="15" hidden="false" customHeight="false" outlineLevel="0" collapsed="false">
      <c r="A150" s="4" t="s">
        <v>50</v>
      </c>
      <c r="B150" s="4" t="s">
        <v>67</v>
      </c>
      <c r="C150" s="4" t="n">
        <v>17</v>
      </c>
      <c r="D150" s="4" t="n">
        <v>127</v>
      </c>
      <c r="E150" s="4" t="n">
        <v>83</v>
      </c>
      <c r="F150" s="4" t="n">
        <v>0.6535</v>
      </c>
      <c r="G150" s="4" t="n">
        <v>2195656.06</v>
      </c>
      <c r="H150" s="4" t="n">
        <v>1.2593</v>
      </c>
    </row>
    <row r="151" customFormat="false" ht="15" hidden="false" customHeight="false" outlineLevel="0" collapsed="false">
      <c r="A151" s="4" t="s">
        <v>51</v>
      </c>
      <c r="B151" s="4" t="s">
        <v>51</v>
      </c>
      <c r="C151" s="4" t="n">
        <v>0</v>
      </c>
      <c r="D151" s="4" t="n">
        <v>128</v>
      </c>
      <c r="E151" s="4" t="n">
        <v>128</v>
      </c>
      <c r="F151" s="4" t="n">
        <v>1</v>
      </c>
      <c r="G151" s="4" t="n">
        <v>2101605.32</v>
      </c>
      <c r="H151" s="4" t="n">
        <v>1</v>
      </c>
    </row>
    <row r="152" customFormat="false" ht="15" hidden="false" customHeight="false" outlineLevel="0" collapsed="false">
      <c r="A152" s="4" t="s">
        <v>51</v>
      </c>
      <c r="B152" s="4" t="s">
        <v>52</v>
      </c>
      <c r="C152" s="4" t="n">
        <v>1</v>
      </c>
      <c r="D152" s="4" t="n">
        <v>128</v>
      </c>
      <c r="E152" s="4" t="n">
        <v>120</v>
      </c>
      <c r="F152" s="4" t="n">
        <v>0.9375</v>
      </c>
      <c r="G152" s="4" t="n">
        <v>2365080.46</v>
      </c>
      <c r="H152" s="4" t="n">
        <v>1.1254</v>
      </c>
    </row>
    <row r="153" customFormat="false" ht="15" hidden="false" customHeight="false" outlineLevel="0" collapsed="false">
      <c r="A153" s="4" t="s">
        <v>51</v>
      </c>
      <c r="B153" s="4" t="s">
        <v>53</v>
      </c>
      <c r="C153" s="4" t="n">
        <v>2</v>
      </c>
      <c r="D153" s="4" t="n">
        <v>128</v>
      </c>
      <c r="E153" s="4" t="n">
        <v>113</v>
      </c>
      <c r="F153" s="4" t="n">
        <v>0.8828</v>
      </c>
      <c r="G153" s="4" t="n">
        <v>2645455.9</v>
      </c>
      <c r="H153" s="4" t="n">
        <v>1.2588</v>
      </c>
    </row>
    <row r="154" customFormat="false" ht="15" hidden="false" customHeight="false" outlineLevel="0" collapsed="false">
      <c r="A154" s="4" t="s">
        <v>51</v>
      </c>
      <c r="B154" s="4" t="s">
        <v>54</v>
      </c>
      <c r="C154" s="4" t="n">
        <v>3</v>
      </c>
      <c r="D154" s="4" t="n">
        <v>128</v>
      </c>
      <c r="E154" s="4" t="n">
        <v>103</v>
      </c>
      <c r="F154" s="4" t="n">
        <v>0.8047</v>
      </c>
      <c r="G154" s="4" t="n">
        <v>2605834.78</v>
      </c>
      <c r="H154" s="4" t="n">
        <v>1.2399</v>
      </c>
    </row>
    <row r="155" customFormat="false" ht="15" hidden="false" customHeight="false" outlineLevel="0" collapsed="false">
      <c r="A155" s="4" t="s">
        <v>51</v>
      </c>
      <c r="B155" s="4" t="s">
        <v>55</v>
      </c>
      <c r="C155" s="4" t="n">
        <v>4</v>
      </c>
      <c r="D155" s="4" t="n">
        <v>128</v>
      </c>
      <c r="E155" s="4" t="n">
        <v>96</v>
      </c>
      <c r="F155" s="4" t="n">
        <v>0.75</v>
      </c>
      <c r="G155" s="4" t="n">
        <v>2848088.94</v>
      </c>
      <c r="H155" s="4" t="n">
        <v>1.3552</v>
      </c>
    </row>
    <row r="156" customFormat="false" ht="15" hidden="false" customHeight="false" outlineLevel="0" collapsed="false">
      <c r="A156" s="4" t="s">
        <v>51</v>
      </c>
      <c r="B156" s="4" t="s">
        <v>56</v>
      </c>
      <c r="C156" s="4" t="n">
        <v>5</v>
      </c>
      <c r="D156" s="4" t="n">
        <v>128</v>
      </c>
      <c r="E156" s="4" t="n">
        <v>101</v>
      </c>
      <c r="F156" s="4" t="n">
        <v>0.7891</v>
      </c>
      <c r="G156" s="4" t="n">
        <v>2908023.52</v>
      </c>
      <c r="H156" s="4" t="n">
        <v>1.3837</v>
      </c>
    </row>
    <row r="157" customFormat="false" ht="15" hidden="false" customHeight="false" outlineLevel="0" collapsed="false">
      <c r="A157" s="4" t="s">
        <v>51</v>
      </c>
      <c r="B157" s="4" t="s">
        <v>57</v>
      </c>
      <c r="C157" s="4" t="n">
        <v>6</v>
      </c>
      <c r="D157" s="4" t="n">
        <v>128</v>
      </c>
      <c r="E157" s="4" t="n">
        <v>97</v>
      </c>
      <c r="F157" s="4" t="n">
        <v>0.7578</v>
      </c>
      <c r="G157" s="4" t="n">
        <v>2896659.46</v>
      </c>
      <c r="H157" s="4" t="n">
        <v>1.3783</v>
      </c>
    </row>
    <row r="158" customFormat="false" ht="15" hidden="false" customHeight="false" outlineLevel="0" collapsed="false">
      <c r="A158" s="4" t="s">
        <v>51</v>
      </c>
      <c r="B158" s="4" t="s">
        <v>58</v>
      </c>
      <c r="C158" s="4" t="n">
        <v>7</v>
      </c>
      <c r="D158" s="4" t="n">
        <v>128</v>
      </c>
      <c r="E158" s="4" t="n">
        <v>92</v>
      </c>
      <c r="F158" s="4" t="n">
        <v>0.7188</v>
      </c>
      <c r="G158" s="4" t="n">
        <v>2968252.87</v>
      </c>
      <c r="H158" s="4" t="n">
        <v>1.4124</v>
      </c>
    </row>
    <row r="159" customFormat="false" ht="15" hidden="false" customHeight="false" outlineLevel="0" collapsed="false">
      <c r="A159" s="4" t="s">
        <v>51</v>
      </c>
      <c r="B159" s="4" t="s">
        <v>59</v>
      </c>
      <c r="C159" s="4" t="n">
        <v>8</v>
      </c>
      <c r="D159" s="4" t="n">
        <v>128</v>
      </c>
      <c r="E159" s="4" t="n">
        <v>91</v>
      </c>
      <c r="F159" s="4" t="n">
        <v>0.7109</v>
      </c>
      <c r="G159" s="4" t="n">
        <v>2492006.28</v>
      </c>
      <c r="H159" s="4" t="n">
        <v>1.1858</v>
      </c>
    </row>
    <row r="160" customFormat="false" ht="15" hidden="false" customHeight="false" outlineLevel="0" collapsed="false">
      <c r="A160" s="4" t="s">
        <v>51</v>
      </c>
      <c r="B160" s="4" t="s">
        <v>60</v>
      </c>
      <c r="C160" s="4" t="n">
        <v>9</v>
      </c>
      <c r="D160" s="4" t="n">
        <v>128</v>
      </c>
      <c r="E160" s="4" t="n">
        <v>85</v>
      </c>
      <c r="F160" s="4" t="n">
        <v>0.6641</v>
      </c>
      <c r="G160" s="4" t="n">
        <v>2172178.73</v>
      </c>
      <c r="H160" s="4" t="n">
        <v>1.0336</v>
      </c>
    </row>
    <row r="161" customFormat="false" ht="15" hidden="false" customHeight="false" outlineLevel="0" collapsed="false">
      <c r="A161" s="4" t="s">
        <v>51</v>
      </c>
      <c r="B161" s="4" t="s">
        <v>61</v>
      </c>
      <c r="C161" s="4" t="n">
        <v>10</v>
      </c>
      <c r="D161" s="4" t="n">
        <v>128</v>
      </c>
      <c r="E161" s="4" t="n">
        <v>85</v>
      </c>
      <c r="F161" s="4" t="n">
        <v>0.6641</v>
      </c>
      <c r="G161" s="4" t="n">
        <v>2023870.77</v>
      </c>
      <c r="H161" s="4" t="n">
        <v>0.963</v>
      </c>
    </row>
    <row r="162" customFormat="false" ht="15" hidden="false" customHeight="false" outlineLevel="0" collapsed="false">
      <c r="A162" s="4" t="s">
        <v>51</v>
      </c>
      <c r="B162" s="4" t="s">
        <v>62</v>
      </c>
      <c r="C162" s="4" t="n">
        <v>11</v>
      </c>
      <c r="D162" s="4" t="n">
        <v>128</v>
      </c>
      <c r="E162" s="4" t="n">
        <v>81</v>
      </c>
      <c r="F162" s="4" t="n">
        <v>0.6328</v>
      </c>
      <c r="G162" s="4" t="n">
        <v>1978154</v>
      </c>
      <c r="H162" s="4" t="n">
        <v>0.9413</v>
      </c>
    </row>
    <row r="163" customFormat="false" ht="15" hidden="false" customHeight="false" outlineLevel="0" collapsed="false">
      <c r="A163" s="4" t="s">
        <v>51</v>
      </c>
      <c r="B163" s="4" t="s">
        <v>63</v>
      </c>
      <c r="C163" s="4" t="n">
        <v>12</v>
      </c>
      <c r="D163" s="4" t="n">
        <v>128</v>
      </c>
      <c r="E163" s="4" t="n">
        <v>79</v>
      </c>
      <c r="F163" s="4" t="n">
        <v>0.6172</v>
      </c>
      <c r="G163" s="4" t="n">
        <v>2327200.16</v>
      </c>
      <c r="H163" s="4" t="n">
        <v>1.1073</v>
      </c>
    </row>
    <row r="164" customFormat="false" ht="15" hidden="false" customHeight="false" outlineLevel="0" collapsed="false">
      <c r="A164" s="4" t="s">
        <v>51</v>
      </c>
      <c r="B164" s="4" t="s">
        <v>64</v>
      </c>
      <c r="C164" s="4" t="n">
        <v>13</v>
      </c>
      <c r="D164" s="4" t="n">
        <v>128</v>
      </c>
      <c r="E164" s="4" t="n">
        <v>83</v>
      </c>
      <c r="F164" s="4" t="n">
        <v>0.6484</v>
      </c>
      <c r="G164" s="4" t="n">
        <v>2351645.49</v>
      </c>
      <c r="H164" s="4" t="n">
        <v>1.119</v>
      </c>
    </row>
    <row r="165" customFormat="false" ht="15" hidden="false" customHeight="false" outlineLevel="0" collapsed="false">
      <c r="A165" s="4" t="s">
        <v>51</v>
      </c>
      <c r="B165" s="4" t="s">
        <v>65</v>
      </c>
      <c r="C165" s="4" t="n">
        <v>14</v>
      </c>
      <c r="D165" s="4" t="n">
        <v>128</v>
      </c>
      <c r="E165" s="4" t="n">
        <v>78</v>
      </c>
      <c r="F165" s="4" t="n">
        <v>0.6094</v>
      </c>
      <c r="G165" s="4" t="n">
        <v>2023772.43</v>
      </c>
      <c r="H165" s="4" t="n">
        <v>0.963</v>
      </c>
    </row>
    <row r="166" customFormat="false" ht="15" hidden="false" customHeight="false" outlineLevel="0" collapsed="false">
      <c r="A166" s="4" t="s">
        <v>51</v>
      </c>
      <c r="B166" s="4" t="s">
        <v>66</v>
      </c>
      <c r="C166" s="4" t="n">
        <v>15</v>
      </c>
      <c r="D166" s="4" t="n">
        <v>128</v>
      </c>
      <c r="E166" s="4" t="n">
        <v>82</v>
      </c>
      <c r="F166" s="4" t="n">
        <v>0.6406</v>
      </c>
      <c r="G166" s="4" t="n">
        <v>2048198.13</v>
      </c>
      <c r="H166" s="4" t="n">
        <v>0.9746</v>
      </c>
    </row>
    <row r="167" customFormat="false" ht="15" hidden="false" customHeight="false" outlineLevel="0" collapsed="false">
      <c r="A167" s="4" t="s">
        <v>51</v>
      </c>
      <c r="B167" s="4" t="s">
        <v>67</v>
      </c>
      <c r="C167" s="4" t="n">
        <v>16</v>
      </c>
      <c r="D167" s="4" t="n">
        <v>128</v>
      </c>
      <c r="E167" s="4" t="n">
        <v>88</v>
      </c>
      <c r="F167" s="4" t="n">
        <v>0.6875</v>
      </c>
      <c r="G167" s="4" t="n">
        <v>2147961.45</v>
      </c>
      <c r="H167" s="4" t="n">
        <v>1.0221</v>
      </c>
    </row>
    <row r="168" customFormat="false" ht="15" hidden="false" customHeight="false" outlineLevel="0" collapsed="false">
      <c r="A168" s="4" t="s">
        <v>52</v>
      </c>
      <c r="B168" s="4" t="s">
        <v>52</v>
      </c>
      <c r="C168" s="4" t="n">
        <v>0</v>
      </c>
      <c r="D168" s="4" t="n">
        <v>121</v>
      </c>
      <c r="E168" s="4" t="n">
        <v>121</v>
      </c>
      <c r="F168" s="4" t="n">
        <v>1</v>
      </c>
      <c r="G168" s="4" t="n">
        <v>1248504.07</v>
      </c>
      <c r="H168" s="4" t="n">
        <v>1</v>
      </c>
    </row>
    <row r="169" customFormat="false" ht="15" hidden="false" customHeight="false" outlineLevel="0" collapsed="false">
      <c r="A169" s="4" t="s">
        <v>52</v>
      </c>
      <c r="B169" s="4" t="s">
        <v>53</v>
      </c>
      <c r="C169" s="4" t="n">
        <v>1</v>
      </c>
      <c r="D169" s="4" t="n">
        <v>121</v>
      </c>
      <c r="E169" s="4" t="n">
        <v>109</v>
      </c>
      <c r="F169" s="4" t="n">
        <v>0.9008</v>
      </c>
      <c r="G169" s="4" t="n">
        <v>1401863.82</v>
      </c>
      <c r="H169" s="4" t="n">
        <v>1.1228</v>
      </c>
    </row>
    <row r="170" customFormat="false" ht="15" hidden="false" customHeight="false" outlineLevel="0" collapsed="false">
      <c r="A170" s="4" t="s">
        <v>52</v>
      </c>
      <c r="B170" s="4" t="s">
        <v>54</v>
      </c>
      <c r="C170" s="4" t="n">
        <v>2</v>
      </c>
      <c r="D170" s="4" t="n">
        <v>121</v>
      </c>
      <c r="E170" s="4" t="n">
        <v>102</v>
      </c>
      <c r="F170" s="4" t="n">
        <v>0.843</v>
      </c>
      <c r="G170" s="4" t="n">
        <v>1549271.51</v>
      </c>
      <c r="H170" s="4" t="n">
        <v>1.2409</v>
      </c>
    </row>
    <row r="171" customFormat="false" ht="15" hidden="false" customHeight="false" outlineLevel="0" collapsed="false">
      <c r="A171" s="4" t="s">
        <v>52</v>
      </c>
      <c r="B171" s="4" t="s">
        <v>55</v>
      </c>
      <c r="C171" s="4" t="n">
        <v>3</v>
      </c>
      <c r="D171" s="4" t="n">
        <v>121</v>
      </c>
      <c r="E171" s="4" t="n">
        <v>99</v>
      </c>
      <c r="F171" s="4" t="n">
        <v>0.8182</v>
      </c>
      <c r="G171" s="4" t="n">
        <v>1711130.4</v>
      </c>
      <c r="H171" s="4" t="n">
        <v>1.3705</v>
      </c>
    </row>
    <row r="172" customFormat="false" ht="15" hidden="false" customHeight="false" outlineLevel="0" collapsed="false">
      <c r="A172" s="4" t="s">
        <v>52</v>
      </c>
      <c r="B172" s="4" t="s">
        <v>56</v>
      </c>
      <c r="C172" s="4" t="n">
        <v>4</v>
      </c>
      <c r="D172" s="4" t="n">
        <v>121</v>
      </c>
      <c r="E172" s="4" t="n">
        <v>101</v>
      </c>
      <c r="F172" s="4" t="n">
        <v>0.8347</v>
      </c>
      <c r="G172" s="4" t="n">
        <v>1852809.44</v>
      </c>
      <c r="H172" s="4" t="n">
        <v>1.484</v>
      </c>
    </row>
    <row r="173" customFormat="false" ht="15" hidden="false" customHeight="false" outlineLevel="0" collapsed="false">
      <c r="A173" s="4" t="s">
        <v>52</v>
      </c>
      <c r="B173" s="4" t="s">
        <v>57</v>
      </c>
      <c r="C173" s="4" t="n">
        <v>5</v>
      </c>
      <c r="D173" s="4" t="n">
        <v>121</v>
      </c>
      <c r="E173" s="4" t="n">
        <v>102</v>
      </c>
      <c r="F173" s="4" t="n">
        <v>0.843</v>
      </c>
      <c r="G173" s="4" t="n">
        <v>1992341.44</v>
      </c>
      <c r="H173" s="4" t="n">
        <v>1.5958</v>
      </c>
    </row>
    <row r="174" customFormat="false" ht="15" hidden="false" customHeight="false" outlineLevel="0" collapsed="false">
      <c r="A174" s="4" t="s">
        <v>52</v>
      </c>
      <c r="B174" s="4" t="s">
        <v>58</v>
      </c>
      <c r="C174" s="4" t="n">
        <v>6</v>
      </c>
      <c r="D174" s="4" t="n">
        <v>121</v>
      </c>
      <c r="E174" s="4" t="n">
        <v>96</v>
      </c>
      <c r="F174" s="4" t="n">
        <v>0.7934</v>
      </c>
      <c r="G174" s="4" t="n">
        <v>2136865.67</v>
      </c>
      <c r="H174" s="4" t="n">
        <v>1.7115</v>
      </c>
    </row>
    <row r="175" customFormat="false" ht="15" hidden="false" customHeight="false" outlineLevel="0" collapsed="false">
      <c r="A175" s="4" t="s">
        <v>52</v>
      </c>
      <c r="B175" s="4" t="s">
        <v>59</v>
      </c>
      <c r="C175" s="4" t="n">
        <v>7</v>
      </c>
      <c r="D175" s="4" t="n">
        <v>121</v>
      </c>
      <c r="E175" s="4" t="n">
        <v>89</v>
      </c>
      <c r="F175" s="4" t="n">
        <v>0.7355</v>
      </c>
      <c r="G175" s="4" t="n">
        <v>1904205.34</v>
      </c>
      <c r="H175" s="4" t="n">
        <v>1.5252</v>
      </c>
    </row>
    <row r="176" customFormat="false" ht="15" hidden="false" customHeight="false" outlineLevel="0" collapsed="false">
      <c r="A176" s="4" t="s">
        <v>52</v>
      </c>
      <c r="B176" s="4" t="s">
        <v>60</v>
      </c>
      <c r="C176" s="4" t="n">
        <v>8</v>
      </c>
      <c r="D176" s="4" t="n">
        <v>121</v>
      </c>
      <c r="E176" s="4" t="n">
        <v>89</v>
      </c>
      <c r="F176" s="4" t="n">
        <v>0.7355</v>
      </c>
      <c r="G176" s="4" t="n">
        <v>1702813.57</v>
      </c>
      <c r="H176" s="4" t="n">
        <v>1.3639</v>
      </c>
    </row>
    <row r="177" customFormat="false" ht="15" hidden="false" customHeight="false" outlineLevel="0" collapsed="false">
      <c r="A177" s="4" t="s">
        <v>52</v>
      </c>
      <c r="B177" s="4" t="s">
        <v>61</v>
      </c>
      <c r="C177" s="4" t="n">
        <v>9</v>
      </c>
      <c r="D177" s="4" t="n">
        <v>121</v>
      </c>
      <c r="E177" s="4" t="n">
        <v>81</v>
      </c>
      <c r="F177" s="4" t="n">
        <v>0.6694</v>
      </c>
      <c r="G177" s="4" t="n">
        <v>1516868.58</v>
      </c>
      <c r="H177" s="4" t="n">
        <v>1.2149</v>
      </c>
    </row>
    <row r="178" customFormat="false" ht="15" hidden="false" customHeight="false" outlineLevel="0" collapsed="false">
      <c r="A178" s="4" t="s">
        <v>52</v>
      </c>
      <c r="B178" s="4" t="s">
        <v>62</v>
      </c>
      <c r="C178" s="4" t="n">
        <v>10</v>
      </c>
      <c r="D178" s="4" t="n">
        <v>121</v>
      </c>
      <c r="E178" s="4" t="n">
        <v>83</v>
      </c>
      <c r="F178" s="4" t="n">
        <v>0.686</v>
      </c>
      <c r="G178" s="4" t="n">
        <v>1412158.15</v>
      </c>
      <c r="H178" s="4" t="n">
        <v>1.1311</v>
      </c>
    </row>
    <row r="179" customFormat="false" ht="15" hidden="false" customHeight="false" outlineLevel="0" collapsed="false">
      <c r="A179" s="4" t="s">
        <v>52</v>
      </c>
      <c r="B179" s="4" t="s">
        <v>63</v>
      </c>
      <c r="C179" s="4" t="n">
        <v>11</v>
      </c>
      <c r="D179" s="4" t="n">
        <v>121</v>
      </c>
      <c r="E179" s="4" t="n">
        <v>81</v>
      </c>
      <c r="F179" s="4" t="n">
        <v>0.6694</v>
      </c>
      <c r="G179" s="4" t="n">
        <v>1605733.48</v>
      </c>
      <c r="H179" s="4" t="n">
        <v>1.2861</v>
      </c>
    </row>
    <row r="180" customFormat="false" ht="15" hidden="false" customHeight="false" outlineLevel="0" collapsed="false">
      <c r="A180" s="4" t="s">
        <v>52</v>
      </c>
      <c r="B180" s="4" t="s">
        <v>64</v>
      </c>
      <c r="C180" s="4" t="n">
        <v>12</v>
      </c>
      <c r="D180" s="4" t="n">
        <v>121</v>
      </c>
      <c r="E180" s="4" t="n">
        <v>82</v>
      </c>
      <c r="F180" s="4" t="n">
        <v>0.6777</v>
      </c>
      <c r="G180" s="4" t="n">
        <v>1605625.5</v>
      </c>
      <c r="H180" s="4" t="n">
        <v>1.286</v>
      </c>
    </row>
    <row r="181" customFormat="false" ht="15" hidden="false" customHeight="false" outlineLevel="0" collapsed="false">
      <c r="A181" s="4" t="s">
        <v>52</v>
      </c>
      <c r="B181" s="4" t="s">
        <v>65</v>
      </c>
      <c r="C181" s="4" t="n">
        <v>13</v>
      </c>
      <c r="D181" s="4" t="n">
        <v>121</v>
      </c>
      <c r="E181" s="4" t="n">
        <v>86</v>
      </c>
      <c r="F181" s="4" t="n">
        <v>0.7107</v>
      </c>
      <c r="G181" s="4" t="n">
        <v>1681983.72</v>
      </c>
      <c r="H181" s="4" t="n">
        <v>1.3472</v>
      </c>
    </row>
    <row r="182" customFormat="false" ht="15" hidden="false" customHeight="false" outlineLevel="0" collapsed="false">
      <c r="A182" s="4" t="s">
        <v>52</v>
      </c>
      <c r="B182" s="4" t="s">
        <v>66</v>
      </c>
      <c r="C182" s="4" t="n">
        <v>14</v>
      </c>
      <c r="D182" s="4" t="n">
        <v>121</v>
      </c>
      <c r="E182" s="4" t="n">
        <v>82</v>
      </c>
      <c r="F182" s="4" t="n">
        <v>0.6777</v>
      </c>
      <c r="G182" s="4" t="n">
        <v>1531718.27</v>
      </c>
      <c r="H182" s="4" t="n">
        <v>1.2268</v>
      </c>
    </row>
    <row r="183" customFormat="false" ht="15" hidden="false" customHeight="false" outlineLevel="0" collapsed="false">
      <c r="A183" s="4" t="s">
        <v>52</v>
      </c>
      <c r="B183" s="4" t="s">
        <v>67</v>
      </c>
      <c r="C183" s="4" t="n">
        <v>15</v>
      </c>
      <c r="D183" s="4" t="n">
        <v>121</v>
      </c>
      <c r="E183" s="4" t="n">
        <v>82</v>
      </c>
      <c r="F183" s="4" t="n">
        <v>0.6777</v>
      </c>
      <c r="G183" s="4" t="n">
        <v>1620603.73</v>
      </c>
      <c r="H183" s="4" t="n">
        <v>1.298</v>
      </c>
    </row>
    <row r="184" customFormat="false" ht="15" hidden="false" customHeight="false" outlineLevel="0" collapsed="false">
      <c r="A184" s="4" t="s">
        <v>53</v>
      </c>
      <c r="B184" s="4" t="s">
        <v>53</v>
      </c>
      <c r="C184" s="4" t="n">
        <v>0</v>
      </c>
      <c r="D184" s="4" t="n">
        <v>127</v>
      </c>
      <c r="E184" s="4" t="n">
        <v>127</v>
      </c>
      <c r="F184" s="4" t="n">
        <v>1</v>
      </c>
      <c r="G184" s="4" t="n">
        <v>1533404.15</v>
      </c>
      <c r="H184" s="4" t="n">
        <v>1</v>
      </c>
    </row>
    <row r="185" customFormat="false" ht="15" hidden="false" customHeight="false" outlineLevel="0" collapsed="false">
      <c r="A185" s="4" t="s">
        <v>53</v>
      </c>
      <c r="B185" s="4" t="s">
        <v>54</v>
      </c>
      <c r="C185" s="4" t="n">
        <v>1</v>
      </c>
      <c r="D185" s="4" t="n">
        <v>127</v>
      </c>
      <c r="E185" s="4" t="n">
        <v>117</v>
      </c>
      <c r="F185" s="4" t="n">
        <v>0.9213</v>
      </c>
      <c r="G185" s="4" t="n">
        <v>1626225.9</v>
      </c>
      <c r="H185" s="4" t="n">
        <v>1.0605</v>
      </c>
    </row>
    <row r="186" customFormat="false" ht="15" hidden="false" customHeight="false" outlineLevel="0" collapsed="false">
      <c r="A186" s="4" t="s">
        <v>53</v>
      </c>
      <c r="B186" s="4" t="s">
        <v>55</v>
      </c>
      <c r="C186" s="4" t="n">
        <v>2</v>
      </c>
      <c r="D186" s="4" t="n">
        <v>127</v>
      </c>
      <c r="E186" s="4" t="n">
        <v>109</v>
      </c>
      <c r="F186" s="4" t="n">
        <v>0.8583</v>
      </c>
      <c r="G186" s="4" t="n">
        <v>1734278.8</v>
      </c>
      <c r="H186" s="4" t="n">
        <v>1.131</v>
      </c>
    </row>
    <row r="187" customFormat="false" ht="15" hidden="false" customHeight="false" outlineLevel="0" collapsed="false">
      <c r="A187" s="4" t="s">
        <v>53</v>
      </c>
      <c r="B187" s="4" t="s">
        <v>56</v>
      </c>
      <c r="C187" s="4" t="n">
        <v>3</v>
      </c>
      <c r="D187" s="4" t="n">
        <v>127</v>
      </c>
      <c r="E187" s="4" t="n">
        <v>99</v>
      </c>
      <c r="F187" s="4" t="n">
        <v>0.7795</v>
      </c>
      <c r="G187" s="4" t="n">
        <v>1997011.28</v>
      </c>
      <c r="H187" s="4" t="n">
        <v>1.3023</v>
      </c>
    </row>
    <row r="188" customFormat="false" ht="15" hidden="false" customHeight="false" outlineLevel="0" collapsed="false">
      <c r="A188" s="4" t="s">
        <v>53</v>
      </c>
      <c r="B188" s="4" t="s">
        <v>57</v>
      </c>
      <c r="C188" s="4" t="n">
        <v>4</v>
      </c>
      <c r="D188" s="4" t="n">
        <v>127</v>
      </c>
      <c r="E188" s="4" t="n">
        <v>94</v>
      </c>
      <c r="F188" s="4" t="n">
        <v>0.7402</v>
      </c>
      <c r="G188" s="4" t="n">
        <v>2375412.4</v>
      </c>
      <c r="H188" s="4" t="n">
        <v>1.5491</v>
      </c>
    </row>
    <row r="189" customFormat="false" ht="15" hidden="false" customHeight="false" outlineLevel="0" collapsed="false">
      <c r="A189" s="4" t="s">
        <v>53</v>
      </c>
      <c r="B189" s="4" t="s">
        <v>58</v>
      </c>
      <c r="C189" s="4" t="n">
        <v>5</v>
      </c>
      <c r="D189" s="4" t="n">
        <v>127</v>
      </c>
      <c r="E189" s="4" t="n">
        <v>97</v>
      </c>
      <c r="F189" s="4" t="n">
        <v>0.7638</v>
      </c>
      <c r="G189" s="4" t="n">
        <v>2769380.72</v>
      </c>
      <c r="H189" s="4" t="n">
        <v>1.806</v>
      </c>
    </row>
    <row r="190" customFormat="false" ht="15" hidden="false" customHeight="false" outlineLevel="0" collapsed="false">
      <c r="A190" s="4" t="s">
        <v>53</v>
      </c>
      <c r="B190" s="4" t="s">
        <v>59</v>
      </c>
      <c r="C190" s="4" t="n">
        <v>6</v>
      </c>
      <c r="D190" s="4" t="n">
        <v>127</v>
      </c>
      <c r="E190" s="4" t="n">
        <v>93</v>
      </c>
      <c r="F190" s="4" t="n">
        <v>0.7323</v>
      </c>
      <c r="G190" s="4" t="n">
        <v>2599491.05</v>
      </c>
      <c r="H190" s="4" t="n">
        <v>1.6952</v>
      </c>
    </row>
    <row r="191" customFormat="false" ht="15" hidden="false" customHeight="false" outlineLevel="0" collapsed="false">
      <c r="A191" s="4" t="s">
        <v>53</v>
      </c>
      <c r="B191" s="4" t="s">
        <v>60</v>
      </c>
      <c r="C191" s="4" t="n">
        <v>7</v>
      </c>
      <c r="D191" s="4" t="n">
        <v>127</v>
      </c>
      <c r="E191" s="4" t="n">
        <v>87</v>
      </c>
      <c r="F191" s="4" t="n">
        <v>0.685</v>
      </c>
      <c r="G191" s="4" t="n">
        <v>2253262.72</v>
      </c>
      <c r="H191" s="4" t="n">
        <v>1.4695</v>
      </c>
    </row>
    <row r="192" customFormat="false" ht="15" hidden="false" customHeight="false" outlineLevel="0" collapsed="false">
      <c r="A192" s="4" t="s">
        <v>53</v>
      </c>
      <c r="B192" s="4" t="s">
        <v>61</v>
      </c>
      <c r="C192" s="4" t="n">
        <v>8</v>
      </c>
      <c r="D192" s="4" t="n">
        <v>127</v>
      </c>
      <c r="E192" s="4" t="n">
        <v>91</v>
      </c>
      <c r="F192" s="4" t="n">
        <v>0.7165</v>
      </c>
      <c r="G192" s="4" t="n">
        <v>2035357.5</v>
      </c>
      <c r="H192" s="4" t="n">
        <v>1.3273</v>
      </c>
    </row>
    <row r="193" customFormat="false" ht="15" hidden="false" customHeight="false" outlineLevel="0" collapsed="false">
      <c r="A193" s="4" t="s">
        <v>53</v>
      </c>
      <c r="B193" s="4" t="s">
        <v>62</v>
      </c>
      <c r="C193" s="4" t="n">
        <v>9</v>
      </c>
      <c r="D193" s="4" t="n">
        <v>127</v>
      </c>
      <c r="E193" s="4" t="n">
        <v>87</v>
      </c>
      <c r="F193" s="4" t="n">
        <v>0.685</v>
      </c>
      <c r="G193" s="4" t="n">
        <v>1998961.51</v>
      </c>
      <c r="H193" s="4" t="n">
        <v>1.3036</v>
      </c>
    </row>
    <row r="194" customFormat="false" ht="15" hidden="false" customHeight="false" outlineLevel="0" collapsed="false">
      <c r="A194" s="4" t="s">
        <v>53</v>
      </c>
      <c r="B194" s="4" t="s">
        <v>63</v>
      </c>
      <c r="C194" s="4" t="n">
        <v>10</v>
      </c>
      <c r="D194" s="4" t="n">
        <v>127</v>
      </c>
      <c r="E194" s="4" t="n">
        <v>85</v>
      </c>
      <c r="F194" s="4" t="n">
        <v>0.6693</v>
      </c>
      <c r="G194" s="4" t="n">
        <v>2532000.43</v>
      </c>
      <c r="H194" s="4" t="n">
        <v>1.6512</v>
      </c>
    </row>
    <row r="195" customFormat="false" ht="15" hidden="false" customHeight="false" outlineLevel="0" collapsed="false">
      <c r="A195" s="4" t="s">
        <v>53</v>
      </c>
      <c r="B195" s="4" t="s">
        <v>64</v>
      </c>
      <c r="C195" s="4" t="n">
        <v>11</v>
      </c>
      <c r="D195" s="4" t="n">
        <v>127</v>
      </c>
      <c r="E195" s="4" t="n">
        <v>83</v>
      </c>
      <c r="F195" s="4" t="n">
        <v>0.6535</v>
      </c>
      <c r="G195" s="4" t="n">
        <v>2222886.2</v>
      </c>
      <c r="H195" s="4" t="n">
        <v>1.4496</v>
      </c>
    </row>
    <row r="196" customFormat="false" ht="15" hidden="false" customHeight="false" outlineLevel="0" collapsed="false">
      <c r="A196" s="4" t="s">
        <v>53</v>
      </c>
      <c r="B196" s="4" t="s">
        <v>65</v>
      </c>
      <c r="C196" s="4" t="n">
        <v>12</v>
      </c>
      <c r="D196" s="4" t="n">
        <v>127</v>
      </c>
      <c r="E196" s="4" t="n">
        <v>86</v>
      </c>
      <c r="F196" s="4" t="n">
        <v>0.6772</v>
      </c>
      <c r="G196" s="4" t="n">
        <v>2248797.12</v>
      </c>
      <c r="H196" s="4" t="n">
        <v>1.4665</v>
      </c>
    </row>
    <row r="197" customFormat="false" ht="15" hidden="false" customHeight="false" outlineLevel="0" collapsed="false">
      <c r="A197" s="4" t="s">
        <v>53</v>
      </c>
      <c r="B197" s="4" t="s">
        <v>66</v>
      </c>
      <c r="C197" s="4" t="n">
        <v>13</v>
      </c>
      <c r="D197" s="4" t="n">
        <v>127</v>
      </c>
      <c r="E197" s="4" t="n">
        <v>82</v>
      </c>
      <c r="F197" s="4" t="n">
        <v>0.6457</v>
      </c>
      <c r="G197" s="4" t="n">
        <v>2003563.64</v>
      </c>
      <c r="H197" s="4" t="n">
        <v>1.3066</v>
      </c>
    </row>
    <row r="198" customFormat="false" ht="15" hidden="false" customHeight="false" outlineLevel="0" collapsed="false">
      <c r="A198" s="4" t="s">
        <v>53</v>
      </c>
      <c r="B198" s="4" t="s">
        <v>67</v>
      </c>
      <c r="C198" s="4" t="n">
        <v>14</v>
      </c>
      <c r="D198" s="4" t="n">
        <v>127</v>
      </c>
      <c r="E198" s="4" t="n">
        <v>84</v>
      </c>
      <c r="F198" s="4" t="n">
        <v>0.6614</v>
      </c>
      <c r="G198" s="4" t="n">
        <v>1972309.81</v>
      </c>
      <c r="H198" s="4" t="n">
        <v>1.2862</v>
      </c>
    </row>
    <row r="199" customFormat="false" ht="15" hidden="false" customHeight="false" outlineLevel="0" collapsed="false">
      <c r="A199" s="4" t="s">
        <v>54</v>
      </c>
      <c r="B199" s="4" t="s">
        <v>54</v>
      </c>
      <c r="C199" s="4" t="n">
        <v>0</v>
      </c>
      <c r="D199" s="4" t="n">
        <v>136</v>
      </c>
      <c r="E199" s="4" t="n">
        <v>136</v>
      </c>
      <c r="F199" s="4" t="n">
        <v>1</v>
      </c>
      <c r="G199" s="4" t="n">
        <v>1935381.96</v>
      </c>
      <c r="H199" s="4" t="n">
        <v>1</v>
      </c>
    </row>
    <row r="200" customFormat="false" ht="15" hidden="false" customHeight="false" outlineLevel="0" collapsed="false">
      <c r="A200" s="4" t="s">
        <v>54</v>
      </c>
      <c r="B200" s="4" t="s">
        <v>55</v>
      </c>
      <c r="C200" s="4" t="n">
        <v>1</v>
      </c>
      <c r="D200" s="4" t="n">
        <v>136</v>
      </c>
      <c r="E200" s="4" t="n">
        <v>122</v>
      </c>
      <c r="F200" s="4" t="n">
        <v>0.8971</v>
      </c>
      <c r="G200" s="4" t="n">
        <v>1902749.49</v>
      </c>
      <c r="H200" s="4" t="n">
        <v>0.9831</v>
      </c>
    </row>
    <row r="201" customFormat="false" ht="15" hidden="false" customHeight="false" outlineLevel="0" collapsed="false">
      <c r="A201" s="4" t="s">
        <v>54</v>
      </c>
      <c r="B201" s="4" t="s">
        <v>56</v>
      </c>
      <c r="C201" s="4" t="n">
        <v>2</v>
      </c>
      <c r="D201" s="4" t="n">
        <v>136</v>
      </c>
      <c r="E201" s="4" t="n">
        <v>112</v>
      </c>
      <c r="F201" s="4" t="n">
        <v>0.8235</v>
      </c>
      <c r="G201" s="4" t="n">
        <v>2193063.53</v>
      </c>
      <c r="H201" s="4" t="n">
        <v>1.1331</v>
      </c>
    </row>
    <row r="202" customFormat="false" ht="15" hidden="false" customHeight="false" outlineLevel="0" collapsed="false">
      <c r="A202" s="4" t="s">
        <v>54</v>
      </c>
      <c r="B202" s="4" t="s">
        <v>57</v>
      </c>
      <c r="C202" s="4" t="n">
        <v>3</v>
      </c>
      <c r="D202" s="4" t="n">
        <v>136</v>
      </c>
      <c r="E202" s="4" t="n">
        <v>101</v>
      </c>
      <c r="F202" s="4" t="n">
        <v>0.7426</v>
      </c>
      <c r="G202" s="4" t="n">
        <v>2480091.97</v>
      </c>
      <c r="H202" s="4" t="n">
        <v>1.2814</v>
      </c>
    </row>
    <row r="203" customFormat="false" ht="15" hidden="false" customHeight="false" outlineLevel="0" collapsed="false">
      <c r="A203" s="4" t="s">
        <v>54</v>
      </c>
      <c r="B203" s="4" t="s">
        <v>58</v>
      </c>
      <c r="C203" s="4" t="n">
        <v>4</v>
      </c>
      <c r="D203" s="4" t="n">
        <v>136</v>
      </c>
      <c r="E203" s="4" t="n">
        <v>96</v>
      </c>
      <c r="F203" s="4" t="n">
        <v>0.7059</v>
      </c>
      <c r="G203" s="4" t="n">
        <v>3255741.51</v>
      </c>
      <c r="H203" s="4" t="n">
        <v>1.6822</v>
      </c>
    </row>
    <row r="204" customFormat="false" ht="15" hidden="false" customHeight="false" outlineLevel="0" collapsed="false">
      <c r="A204" s="4" t="s">
        <v>54</v>
      </c>
      <c r="B204" s="4" t="s">
        <v>59</v>
      </c>
      <c r="C204" s="4" t="n">
        <v>5</v>
      </c>
      <c r="D204" s="4" t="n">
        <v>136</v>
      </c>
      <c r="E204" s="4" t="n">
        <v>92</v>
      </c>
      <c r="F204" s="4" t="n">
        <v>0.6765</v>
      </c>
      <c r="G204" s="4" t="n">
        <v>3034705.08</v>
      </c>
      <c r="H204" s="4" t="n">
        <v>1.568</v>
      </c>
    </row>
    <row r="205" customFormat="false" ht="15" hidden="false" customHeight="false" outlineLevel="0" collapsed="false">
      <c r="A205" s="4" t="s">
        <v>54</v>
      </c>
      <c r="B205" s="4" t="s">
        <v>60</v>
      </c>
      <c r="C205" s="4" t="n">
        <v>6</v>
      </c>
      <c r="D205" s="4" t="n">
        <v>136</v>
      </c>
      <c r="E205" s="4" t="n">
        <v>90</v>
      </c>
      <c r="F205" s="4" t="n">
        <v>0.6618</v>
      </c>
      <c r="G205" s="4" t="n">
        <v>2547719.44</v>
      </c>
      <c r="H205" s="4" t="n">
        <v>1.3164</v>
      </c>
    </row>
    <row r="206" customFormat="false" ht="15" hidden="false" customHeight="false" outlineLevel="0" collapsed="false">
      <c r="A206" s="4" t="s">
        <v>54</v>
      </c>
      <c r="B206" s="4" t="s">
        <v>61</v>
      </c>
      <c r="C206" s="4" t="n">
        <v>7</v>
      </c>
      <c r="D206" s="4" t="n">
        <v>136</v>
      </c>
      <c r="E206" s="4" t="n">
        <v>89</v>
      </c>
      <c r="F206" s="4" t="n">
        <v>0.6544</v>
      </c>
      <c r="G206" s="4" t="n">
        <v>2495479.72</v>
      </c>
      <c r="H206" s="4" t="n">
        <v>1.2894</v>
      </c>
    </row>
    <row r="207" customFormat="false" ht="15" hidden="false" customHeight="false" outlineLevel="0" collapsed="false">
      <c r="A207" s="4" t="s">
        <v>54</v>
      </c>
      <c r="B207" s="4" t="s">
        <v>62</v>
      </c>
      <c r="C207" s="4" t="n">
        <v>8</v>
      </c>
      <c r="D207" s="4" t="n">
        <v>136</v>
      </c>
      <c r="E207" s="4" t="n">
        <v>91</v>
      </c>
      <c r="F207" s="4" t="n">
        <v>0.6691</v>
      </c>
      <c r="G207" s="4" t="n">
        <v>2455750.34</v>
      </c>
      <c r="H207" s="4" t="n">
        <v>1.2689</v>
      </c>
    </row>
    <row r="208" customFormat="false" ht="15" hidden="false" customHeight="false" outlineLevel="0" collapsed="false">
      <c r="A208" s="4" t="s">
        <v>54</v>
      </c>
      <c r="B208" s="4" t="s">
        <v>63</v>
      </c>
      <c r="C208" s="4" t="n">
        <v>9</v>
      </c>
      <c r="D208" s="4" t="n">
        <v>136</v>
      </c>
      <c r="E208" s="4" t="n">
        <v>91</v>
      </c>
      <c r="F208" s="4" t="n">
        <v>0.6691</v>
      </c>
      <c r="G208" s="4" t="n">
        <v>2687984.68</v>
      </c>
      <c r="H208" s="4" t="n">
        <v>1.3889</v>
      </c>
    </row>
    <row r="209" customFormat="false" ht="15" hidden="false" customHeight="false" outlineLevel="0" collapsed="false">
      <c r="A209" s="4" t="s">
        <v>54</v>
      </c>
      <c r="B209" s="4" t="s">
        <v>64</v>
      </c>
      <c r="C209" s="4" t="n">
        <v>10</v>
      </c>
      <c r="D209" s="4" t="n">
        <v>136</v>
      </c>
      <c r="E209" s="4" t="n">
        <v>95</v>
      </c>
      <c r="F209" s="4" t="n">
        <v>0.6985</v>
      </c>
      <c r="G209" s="4" t="n">
        <v>2759492.1</v>
      </c>
      <c r="H209" s="4" t="n">
        <v>1.4258</v>
      </c>
    </row>
    <row r="210" customFormat="false" ht="15" hidden="false" customHeight="false" outlineLevel="0" collapsed="false">
      <c r="A210" s="4" t="s">
        <v>54</v>
      </c>
      <c r="B210" s="4" t="s">
        <v>65</v>
      </c>
      <c r="C210" s="4" t="n">
        <v>11</v>
      </c>
      <c r="D210" s="4" t="n">
        <v>136</v>
      </c>
      <c r="E210" s="4" t="n">
        <v>97</v>
      </c>
      <c r="F210" s="4" t="n">
        <v>0.7132</v>
      </c>
      <c r="G210" s="4" t="n">
        <v>2737137.01</v>
      </c>
      <c r="H210" s="4" t="n">
        <v>1.4143</v>
      </c>
    </row>
    <row r="211" customFormat="false" ht="15" hidden="false" customHeight="false" outlineLevel="0" collapsed="false">
      <c r="A211" s="4" t="s">
        <v>54</v>
      </c>
      <c r="B211" s="4" t="s">
        <v>66</v>
      </c>
      <c r="C211" s="4" t="n">
        <v>12</v>
      </c>
      <c r="D211" s="4" t="n">
        <v>136</v>
      </c>
      <c r="E211" s="4" t="n">
        <v>89</v>
      </c>
      <c r="F211" s="4" t="n">
        <v>0.6544</v>
      </c>
      <c r="G211" s="4" t="n">
        <v>2637532.96</v>
      </c>
      <c r="H211" s="4" t="n">
        <v>1.3628</v>
      </c>
    </row>
    <row r="212" customFormat="false" ht="15" hidden="false" customHeight="false" outlineLevel="0" collapsed="false">
      <c r="A212" s="4" t="s">
        <v>54</v>
      </c>
      <c r="B212" s="4" t="s">
        <v>67</v>
      </c>
      <c r="C212" s="4" t="n">
        <v>13</v>
      </c>
      <c r="D212" s="4" t="n">
        <v>136</v>
      </c>
      <c r="E212" s="4" t="n">
        <v>89</v>
      </c>
      <c r="F212" s="4" t="n">
        <v>0.6544</v>
      </c>
      <c r="G212" s="4" t="n">
        <v>2383582.23</v>
      </c>
      <c r="H212" s="4" t="n">
        <v>1.2316</v>
      </c>
    </row>
    <row r="213" customFormat="false" ht="15" hidden="false" customHeight="false" outlineLevel="0" collapsed="false">
      <c r="A213" s="4" t="s">
        <v>55</v>
      </c>
      <c r="B213" s="4" t="s">
        <v>55</v>
      </c>
      <c r="C213" s="4" t="n">
        <v>0</v>
      </c>
      <c r="D213" s="4" t="n">
        <v>127</v>
      </c>
      <c r="E213" s="4" t="n">
        <v>127</v>
      </c>
      <c r="F213" s="4" t="n">
        <v>1</v>
      </c>
      <c r="G213" s="4" t="n">
        <v>2194373.71</v>
      </c>
      <c r="H213" s="4" t="n">
        <v>1</v>
      </c>
    </row>
    <row r="214" customFormat="false" ht="15" hidden="false" customHeight="false" outlineLevel="0" collapsed="false">
      <c r="A214" s="4" t="s">
        <v>55</v>
      </c>
      <c r="B214" s="4" t="s">
        <v>56</v>
      </c>
      <c r="C214" s="4" t="n">
        <v>1</v>
      </c>
      <c r="D214" s="4" t="n">
        <v>127</v>
      </c>
      <c r="E214" s="4" t="n">
        <v>117</v>
      </c>
      <c r="F214" s="4" t="n">
        <v>0.9213</v>
      </c>
      <c r="G214" s="4" t="n">
        <v>2546408.27</v>
      </c>
      <c r="H214" s="4" t="n">
        <v>1.1604</v>
      </c>
    </row>
    <row r="215" customFormat="false" ht="15" hidden="false" customHeight="false" outlineLevel="0" collapsed="false">
      <c r="A215" s="4" t="s">
        <v>55</v>
      </c>
      <c r="B215" s="4" t="s">
        <v>57</v>
      </c>
      <c r="C215" s="4" t="n">
        <v>2</v>
      </c>
      <c r="D215" s="4" t="n">
        <v>127</v>
      </c>
      <c r="E215" s="4" t="n">
        <v>109</v>
      </c>
      <c r="F215" s="4" t="n">
        <v>0.8583</v>
      </c>
      <c r="G215" s="4" t="n">
        <v>3189396.57</v>
      </c>
      <c r="H215" s="4" t="n">
        <v>1.4534</v>
      </c>
    </row>
    <row r="216" customFormat="false" ht="15" hidden="false" customHeight="false" outlineLevel="0" collapsed="false">
      <c r="A216" s="4" t="s">
        <v>55</v>
      </c>
      <c r="B216" s="4" t="s">
        <v>58</v>
      </c>
      <c r="C216" s="4" t="n">
        <v>3</v>
      </c>
      <c r="D216" s="4" t="n">
        <v>127</v>
      </c>
      <c r="E216" s="4" t="n">
        <v>97</v>
      </c>
      <c r="F216" s="4" t="n">
        <v>0.7638</v>
      </c>
      <c r="G216" s="4" t="n">
        <v>4001305.12</v>
      </c>
      <c r="H216" s="4" t="n">
        <v>1.8234</v>
      </c>
    </row>
    <row r="217" customFormat="false" ht="15" hidden="false" customHeight="false" outlineLevel="0" collapsed="false">
      <c r="A217" s="4" t="s">
        <v>55</v>
      </c>
      <c r="B217" s="4" t="s">
        <v>59</v>
      </c>
      <c r="C217" s="4" t="n">
        <v>4</v>
      </c>
      <c r="D217" s="4" t="n">
        <v>127</v>
      </c>
      <c r="E217" s="4" t="n">
        <v>97</v>
      </c>
      <c r="F217" s="4" t="n">
        <v>0.7638</v>
      </c>
      <c r="G217" s="4" t="n">
        <v>4290114.11</v>
      </c>
      <c r="H217" s="4" t="n">
        <v>1.9551</v>
      </c>
    </row>
    <row r="218" customFormat="false" ht="15" hidden="false" customHeight="false" outlineLevel="0" collapsed="false">
      <c r="A218" s="4" t="s">
        <v>55</v>
      </c>
      <c r="B218" s="4" t="s">
        <v>60</v>
      </c>
      <c r="C218" s="4" t="n">
        <v>5</v>
      </c>
      <c r="D218" s="4" t="n">
        <v>127</v>
      </c>
      <c r="E218" s="4" t="n">
        <v>96</v>
      </c>
      <c r="F218" s="4" t="n">
        <v>0.7559</v>
      </c>
      <c r="G218" s="4" t="n">
        <v>3600771.24</v>
      </c>
      <c r="H218" s="4" t="n">
        <v>1.6409</v>
      </c>
    </row>
    <row r="219" customFormat="false" ht="15" hidden="false" customHeight="false" outlineLevel="0" collapsed="false">
      <c r="A219" s="4" t="s">
        <v>55</v>
      </c>
      <c r="B219" s="4" t="s">
        <v>61</v>
      </c>
      <c r="C219" s="4" t="n">
        <v>6</v>
      </c>
      <c r="D219" s="4" t="n">
        <v>127</v>
      </c>
      <c r="E219" s="4" t="n">
        <v>92</v>
      </c>
      <c r="F219" s="4" t="n">
        <v>0.7244</v>
      </c>
      <c r="G219" s="4" t="n">
        <v>3103324.28</v>
      </c>
      <c r="H219" s="4" t="n">
        <v>1.4142</v>
      </c>
    </row>
    <row r="220" customFormat="false" ht="15" hidden="false" customHeight="false" outlineLevel="0" collapsed="false">
      <c r="A220" s="4" t="s">
        <v>55</v>
      </c>
      <c r="B220" s="4" t="s">
        <v>62</v>
      </c>
      <c r="C220" s="4" t="n">
        <v>7</v>
      </c>
      <c r="D220" s="4" t="n">
        <v>127</v>
      </c>
      <c r="E220" s="4" t="n">
        <v>88</v>
      </c>
      <c r="F220" s="4" t="n">
        <v>0.6929</v>
      </c>
      <c r="G220" s="4" t="n">
        <v>2954448.33</v>
      </c>
      <c r="H220" s="4" t="n">
        <v>1.3464</v>
      </c>
    </row>
    <row r="221" customFormat="false" ht="15" hidden="false" customHeight="false" outlineLevel="0" collapsed="false">
      <c r="A221" s="4" t="s">
        <v>55</v>
      </c>
      <c r="B221" s="4" t="s">
        <v>63</v>
      </c>
      <c r="C221" s="4" t="n">
        <v>8</v>
      </c>
      <c r="D221" s="4" t="n">
        <v>127</v>
      </c>
      <c r="E221" s="4" t="n">
        <v>88</v>
      </c>
      <c r="F221" s="4" t="n">
        <v>0.6929</v>
      </c>
      <c r="G221" s="4" t="n">
        <v>3615419.79</v>
      </c>
      <c r="H221" s="4" t="n">
        <v>1.6476</v>
      </c>
    </row>
    <row r="222" customFormat="false" ht="15" hidden="false" customHeight="false" outlineLevel="0" collapsed="false">
      <c r="A222" s="4" t="s">
        <v>55</v>
      </c>
      <c r="B222" s="4" t="s">
        <v>64</v>
      </c>
      <c r="C222" s="4" t="n">
        <v>9</v>
      </c>
      <c r="D222" s="4" t="n">
        <v>127</v>
      </c>
      <c r="E222" s="4" t="n">
        <v>88</v>
      </c>
      <c r="F222" s="4" t="n">
        <v>0.6929</v>
      </c>
      <c r="G222" s="4" t="n">
        <v>3420247.73</v>
      </c>
      <c r="H222" s="4" t="n">
        <v>1.5586</v>
      </c>
    </row>
    <row r="223" customFormat="false" ht="15" hidden="false" customHeight="false" outlineLevel="0" collapsed="false">
      <c r="A223" s="4" t="s">
        <v>55</v>
      </c>
      <c r="B223" s="4" t="s">
        <v>65</v>
      </c>
      <c r="C223" s="4" t="n">
        <v>10</v>
      </c>
      <c r="D223" s="4" t="n">
        <v>127</v>
      </c>
      <c r="E223" s="4" t="n">
        <v>91</v>
      </c>
      <c r="F223" s="4" t="n">
        <v>0.7165</v>
      </c>
      <c r="G223" s="4" t="n">
        <v>3469189.46</v>
      </c>
      <c r="H223" s="4" t="n">
        <v>1.5809</v>
      </c>
    </row>
    <row r="224" customFormat="false" ht="15" hidden="false" customHeight="false" outlineLevel="0" collapsed="false">
      <c r="A224" s="4" t="s">
        <v>55</v>
      </c>
      <c r="B224" s="4" t="s">
        <v>66</v>
      </c>
      <c r="C224" s="4" t="n">
        <v>11</v>
      </c>
      <c r="D224" s="4" t="n">
        <v>127</v>
      </c>
      <c r="E224" s="4" t="n">
        <v>87</v>
      </c>
      <c r="F224" s="4" t="n">
        <v>0.685</v>
      </c>
      <c r="G224" s="4" t="n">
        <v>3216324.51</v>
      </c>
      <c r="H224" s="4" t="n">
        <v>1.4657</v>
      </c>
    </row>
    <row r="225" customFormat="false" ht="15" hidden="false" customHeight="false" outlineLevel="0" collapsed="false">
      <c r="A225" s="4" t="s">
        <v>55</v>
      </c>
      <c r="B225" s="4" t="s">
        <v>67</v>
      </c>
      <c r="C225" s="4" t="n">
        <v>12</v>
      </c>
      <c r="D225" s="4" t="n">
        <v>127</v>
      </c>
      <c r="E225" s="4" t="n">
        <v>88</v>
      </c>
      <c r="F225" s="4" t="n">
        <v>0.6929</v>
      </c>
      <c r="G225" s="4" t="n">
        <v>3148661.88</v>
      </c>
      <c r="H225" s="4" t="n">
        <v>1.4349</v>
      </c>
    </row>
    <row r="226" customFormat="false" ht="15" hidden="false" customHeight="false" outlineLevel="0" collapsed="false">
      <c r="A226" s="4" t="s">
        <v>56</v>
      </c>
      <c r="B226" s="4" t="s">
        <v>56</v>
      </c>
      <c r="C226" s="4" t="n">
        <v>0</v>
      </c>
      <c r="D226" s="4" t="n">
        <v>118</v>
      </c>
      <c r="E226" s="4" t="n">
        <v>118</v>
      </c>
      <c r="F226" s="4" t="n">
        <v>1</v>
      </c>
      <c r="G226" s="4" t="n">
        <v>1360792.86</v>
      </c>
      <c r="H226" s="4" t="n">
        <v>1</v>
      </c>
    </row>
    <row r="227" customFormat="false" ht="15" hidden="false" customHeight="false" outlineLevel="0" collapsed="false">
      <c r="A227" s="4" t="s">
        <v>56</v>
      </c>
      <c r="B227" s="4" t="s">
        <v>57</v>
      </c>
      <c r="C227" s="4" t="n">
        <v>1</v>
      </c>
      <c r="D227" s="4" t="n">
        <v>118</v>
      </c>
      <c r="E227" s="4" t="n">
        <v>111</v>
      </c>
      <c r="F227" s="4" t="n">
        <v>0.9407</v>
      </c>
      <c r="G227" s="4" t="n">
        <v>1719648.43</v>
      </c>
      <c r="H227" s="4" t="n">
        <v>1.2637</v>
      </c>
    </row>
    <row r="228" customFormat="false" ht="15" hidden="false" customHeight="false" outlineLevel="0" collapsed="false">
      <c r="A228" s="4" t="s">
        <v>56</v>
      </c>
      <c r="B228" s="4" t="s">
        <v>58</v>
      </c>
      <c r="C228" s="4" t="n">
        <v>2</v>
      </c>
      <c r="D228" s="4" t="n">
        <v>118</v>
      </c>
      <c r="E228" s="4" t="n">
        <v>97</v>
      </c>
      <c r="F228" s="4" t="n">
        <v>0.822</v>
      </c>
      <c r="G228" s="4" t="n">
        <v>2391742.5</v>
      </c>
      <c r="H228" s="4" t="n">
        <v>1.7576</v>
      </c>
    </row>
    <row r="229" customFormat="false" ht="15" hidden="false" customHeight="false" outlineLevel="0" collapsed="false">
      <c r="A229" s="4" t="s">
        <v>56</v>
      </c>
      <c r="B229" s="4" t="s">
        <v>59</v>
      </c>
      <c r="C229" s="4" t="n">
        <v>3</v>
      </c>
      <c r="D229" s="4" t="n">
        <v>118</v>
      </c>
      <c r="E229" s="4" t="n">
        <v>86</v>
      </c>
      <c r="F229" s="4" t="n">
        <v>0.7288</v>
      </c>
      <c r="G229" s="4" t="n">
        <v>2104087.54</v>
      </c>
      <c r="H229" s="4" t="n">
        <v>1.5462</v>
      </c>
    </row>
    <row r="230" customFormat="false" ht="15" hidden="false" customHeight="false" outlineLevel="0" collapsed="false">
      <c r="A230" s="4" t="s">
        <v>56</v>
      </c>
      <c r="B230" s="4" t="s">
        <v>60</v>
      </c>
      <c r="C230" s="4" t="n">
        <v>4</v>
      </c>
      <c r="D230" s="4" t="n">
        <v>118</v>
      </c>
      <c r="E230" s="4" t="n">
        <v>78</v>
      </c>
      <c r="F230" s="4" t="n">
        <v>0.661</v>
      </c>
      <c r="G230" s="4" t="n">
        <v>2034712.79</v>
      </c>
      <c r="H230" s="4" t="n">
        <v>1.4952</v>
      </c>
    </row>
    <row r="231" customFormat="false" ht="15" hidden="false" customHeight="false" outlineLevel="0" collapsed="false">
      <c r="A231" s="4" t="s">
        <v>56</v>
      </c>
      <c r="B231" s="4" t="s">
        <v>61</v>
      </c>
      <c r="C231" s="4" t="n">
        <v>5</v>
      </c>
      <c r="D231" s="4" t="n">
        <v>118</v>
      </c>
      <c r="E231" s="4" t="n">
        <v>75</v>
      </c>
      <c r="F231" s="4" t="n">
        <v>0.6356</v>
      </c>
      <c r="G231" s="4" t="n">
        <v>1865319.41</v>
      </c>
      <c r="H231" s="4" t="n">
        <v>1.3708</v>
      </c>
    </row>
    <row r="232" customFormat="false" ht="15" hidden="false" customHeight="false" outlineLevel="0" collapsed="false">
      <c r="A232" s="4" t="s">
        <v>56</v>
      </c>
      <c r="B232" s="4" t="s">
        <v>62</v>
      </c>
      <c r="C232" s="4" t="n">
        <v>6</v>
      </c>
      <c r="D232" s="4" t="n">
        <v>118</v>
      </c>
      <c r="E232" s="4" t="n">
        <v>78</v>
      </c>
      <c r="F232" s="4" t="n">
        <v>0.661</v>
      </c>
      <c r="G232" s="4" t="n">
        <v>1751683.99</v>
      </c>
      <c r="H232" s="4" t="n">
        <v>1.2873</v>
      </c>
    </row>
    <row r="233" customFormat="false" ht="15" hidden="false" customHeight="false" outlineLevel="0" collapsed="false">
      <c r="A233" s="4" t="s">
        <v>56</v>
      </c>
      <c r="B233" s="4" t="s">
        <v>63</v>
      </c>
      <c r="C233" s="4" t="n">
        <v>7</v>
      </c>
      <c r="D233" s="4" t="n">
        <v>118</v>
      </c>
      <c r="E233" s="4" t="n">
        <v>81</v>
      </c>
      <c r="F233" s="4" t="n">
        <v>0.6864</v>
      </c>
      <c r="G233" s="4" t="n">
        <v>2019843.45</v>
      </c>
      <c r="H233" s="4" t="n">
        <v>1.4843</v>
      </c>
    </row>
    <row r="234" customFormat="false" ht="15" hidden="false" customHeight="false" outlineLevel="0" collapsed="false">
      <c r="A234" s="4" t="s">
        <v>56</v>
      </c>
      <c r="B234" s="4" t="s">
        <v>64</v>
      </c>
      <c r="C234" s="4" t="n">
        <v>8</v>
      </c>
      <c r="D234" s="4" t="n">
        <v>118</v>
      </c>
      <c r="E234" s="4" t="n">
        <v>76</v>
      </c>
      <c r="F234" s="4" t="n">
        <v>0.6441</v>
      </c>
      <c r="G234" s="4" t="n">
        <v>2040164.9</v>
      </c>
      <c r="H234" s="4" t="n">
        <v>1.4992</v>
      </c>
    </row>
    <row r="235" customFormat="false" ht="15" hidden="false" customHeight="false" outlineLevel="0" collapsed="false">
      <c r="A235" s="4" t="s">
        <v>56</v>
      </c>
      <c r="B235" s="4" t="s">
        <v>65</v>
      </c>
      <c r="C235" s="4" t="n">
        <v>9</v>
      </c>
      <c r="D235" s="4" t="n">
        <v>118</v>
      </c>
      <c r="E235" s="4" t="n">
        <v>72</v>
      </c>
      <c r="F235" s="4" t="n">
        <v>0.6102</v>
      </c>
      <c r="G235" s="4" t="n">
        <v>1797264.74</v>
      </c>
      <c r="H235" s="4" t="n">
        <v>1.3207</v>
      </c>
    </row>
    <row r="236" customFormat="false" ht="15" hidden="false" customHeight="false" outlineLevel="0" collapsed="false">
      <c r="A236" s="4" t="s">
        <v>56</v>
      </c>
      <c r="B236" s="4" t="s">
        <v>66</v>
      </c>
      <c r="C236" s="4" t="n">
        <v>10</v>
      </c>
      <c r="D236" s="4" t="n">
        <v>118</v>
      </c>
      <c r="E236" s="4" t="n">
        <v>74</v>
      </c>
      <c r="F236" s="4" t="n">
        <v>0.6271</v>
      </c>
      <c r="G236" s="4" t="n">
        <v>1534725.45</v>
      </c>
      <c r="H236" s="4" t="n">
        <v>1.1278</v>
      </c>
    </row>
    <row r="237" customFormat="false" ht="15" hidden="false" customHeight="false" outlineLevel="0" collapsed="false">
      <c r="A237" s="4" t="s">
        <v>56</v>
      </c>
      <c r="B237" s="4" t="s">
        <v>67</v>
      </c>
      <c r="C237" s="4" t="n">
        <v>11</v>
      </c>
      <c r="D237" s="4" t="n">
        <v>118</v>
      </c>
      <c r="E237" s="4" t="n">
        <v>73</v>
      </c>
      <c r="F237" s="4" t="n">
        <v>0.6186</v>
      </c>
      <c r="G237" s="4" t="n">
        <v>1566263.29</v>
      </c>
      <c r="H237" s="4" t="n">
        <v>1.151</v>
      </c>
    </row>
    <row r="238" customFormat="false" ht="15" hidden="false" customHeight="false" outlineLevel="0" collapsed="false">
      <c r="A238" s="4" t="s">
        <v>57</v>
      </c>
      <c r="B238" s="4" t="s">
        <v>57</v>
      </c>
      <c r="C238" s="4" t="n">
        <v>0</v>
      </c>
      <c r="D238" s="4" t="n">
        <v>109</v>
      </c>
      <c r="E238" s="4" t="n">
        <v>109</v>
      </c>
      <c r="F238" s="4" t="n">
        <v>1</v>
      </c>
      <c r="G238" s="4" t="n">
        <v>1427948.52</v>
      </c>
      <c r="H238" s="4" t="n">
        <v>1</v>
      </c>
    </row>
    <row r="239" customFormat="false" ht="15" hidden="false" customHeight="false" outlineLevel="0" collapsed="false">
      <c r="A239" s="4" t="s">
        <v>57</v>
      </c>
      <c r="B239" s="4" t="s">
        <v>58</v>
      </c>
      <c r="C239" s="4" t="n">
        <v>1</v>
      </c>
      <c r="D239" s="4" t="n">
        <v>109</v>
      </c>
      <c r="E239" s="4" t="n">
        <v>97</v>
      </c>
      <c r="F239" s="4" t="n">
        <v>0.8899</v>
      </c>
      <c r="G239" s="4" t="n">
        <v>1915875.57</v>
      </c>
      <c r="H239" s="4" t="n">
        <v>1.3417</v>
      </c>
    </row>
    <row r="240" customFormat="false" ht="15" hidden="false" customHeight="false" outlineLevel="0" collapsed="false">
      <c r="A240" s="4" t="s">
        <v>57</v>
      </c>
      <c r="B240" s="4" t="s">
        <v>59</v>
      </c>
      <c r="C240" s="4" t="n">
        <v>2</v>
      </c>
      <c r="D240" s="4" t="n">
        <v>109</v>
      </c>
      <c r="E240" s="4" t="n">
        <v>92</v>
      </c>
      <c r="F240" s="4" t="n">
        <v>0.844</v>
      </c>
      <c r="G240" s="4" t="n">
        <v>2122493.25</v>
      </c>
      <c r="H240" s="4" t="n">
        <v>1.4864</v>
      </c>
    </row>
    <row r="241" customFormat="false" ht="15" hidden="false" customHeight="false" outlineLevel="0" collapsed="false">
      <c r="A241" s="4" t="s">
        <v>57</v>
      </c>
      <c r="B241" s="4" t="s">
        <v>60</v>
      </c>
      <c r="C241" s="4" t="n">
        <v>3</v>
      </c>
      <c r="D241" s="4" t="n">
        <v>109</v>
      </c>
      <c r="E241" s="4" t="n">
        <v>83</v>
      </c>
      <c r="F241" s="4" t="n">
        <v>0.7615</v>
      </c>
      <c r="G241" s="4" t="n">
        <v>2109802.22</v>
      </c>
      <c r="H241" s="4" t="n">
        <v>1.4775</v>
      </c>
    </row>
    <row r="242" customFormat="false" ht="15" hidden="false" customHeight="false" outlineLevel="0" collapsed="false">
      <c r="A242" s="4" t="s">
        <v>57</v>
      </c>
      <c r="B242" s="4" t="s">
        <v>61</v>
      </c>
      <c r="C242" s="4" t="n">
        <v>4</v>
      </c>
      <c r="D242" s="4" t="n">
        <v>109</v>
      </c>
      <c r="E242" s="4" t="n">
        <v>80</v>
      </c>
      <c r="F242" s="4" t="n">
        <v>0.7339</v>
      </c>
      <c r="G242" s="4" t="n">
        <v>1965201.09</v>
      </c>
      <c r="H242" s="4" t="n">
        <v>1.3762</v>
      </c>
    </row>
    <row r="243" customFormat="false" ht="15" hidden="false" customHeight="false" outlineLevel="0" collapsed="false">
      <c r="A243" s="4" t="s">
        <v>57</v>
      </c>
      <c r="B243" s="4" t="s">
        <v>62</v>
      </c>
      <c r="C243" s="4" t="n">
        <v>5</v>
      </c>
      <c r="D243" s="4" t="n">
        <v>109</v>
      </c>
      <c r="E243" s="4" t="n">
        <v>79</v>
      </c>
      <c r="F243" s="4" t="n">
        <v>0.7248</v>
      </c>
      <c r="G243" s="4" t="n">
        <v>1975062.7</v>
      </c>
      <c r="H243" s="4" t="n">
        <v>1.3831</v>
      </c>
    </row>
    <row r="244" customFormat="false" ht="15" hidden="false" customHeight="false" outlineLevel="0" collapsed="false">
      <c r="A244" s="4" t="s">
        <v>57</v>
      </c>
      <c r="B244" s="4" t="s">
        <v>63</v>
      </c>
      <c r="C244" s="4" t="n">
        <v>6</v>
      </c>
      <c r="D244" s="4" t="n">
        <v>109</v>
      </c>
      <c r="E244" s="4" t="n">
        <v>77</v>
      </c>
      <c r="F244" s="4" t="n">
        <v>0.7064</v>
      </c>
      <c r="G244" s="4" t="n">
        <v>2174168.29</v>
      </c>
      <c r="H244" s="4" t="n">
        <v>1.5226</v>
      </c>
    </row>
    <row r="245" customFormat="false" ht="15" hidden="false" customHeight="false" outlineLevel="0" collapsed="false">
      <c r="A245" s="4" t="s">
        <v>57</v>
      </c>
      <c r="B245" s="4" t="s">
        <v>64</v>
      </c>
      <c r="C245" s="4" t="n">
        <v>7</v>
      </c>
      <c r="D245" s="4" t="n">
        <v>109</v>
      </c>
      <c r="E245" s="4" t="n">
        <v>74</v>
      </c>
      <c r="F245" s="4" t="n">
        <v>0.6789</v>
      </c>
      <c r="G245" s="4" t="n">
        <v>1931080.02</v>
      </c>
      <c r="H245" s="4" t="n">
        <v>1.3523</v>
      </c>
    </row>
    <row r="246" customFormat="false" ht="15" hidden="false" customHeight="false" outlineLevel="0" collapsed="false">
      <c r="A246" s="4" t="s">
        <v>57</v>
      </c>
      <c r="B246" s="4" t="s">
        <v>65</v>
      </c>
      <c r="C246" s="4" t="n">
        <v>8</v>
      </c>
      <c r="D246" s="4" t="n">
        <v>109</v>
      </c>
      <c r="E246" s="4" t="n">
        <v>72</v>
      </c>
      <c r="F246" s="4" t="n">
        <v>0.6606</v>
      </c>
      <c r="G246" s="4" t="n">
        <v>1833288.12</v>
      </c>
      <c r="H246" s="4" t="n">
        <v>1.2839</v>
      </c>
    </row>
    <row r="247" customFormat="false" ht="15" hidden="false" customHeight="false" outlineLevel="0" collapsed="false">
      <c r="A247" s="4" t="s">
        <v>57</v>
      </c>
      <c r="B247" s="4" t="s">
        <v>66</v>
      </c>
      <c r="C247" s="4" t="n">
        <v>9</v>
      </c>
      <c r="D247" s="4" t="n">
        <v>109</v>
      </c>
      <c r="E247" s="4" t="n">
        <v>71</v>
      </c>
      <c r="F247" s="4" t="n">
        <v>0.6514</v>
      </c>
      <c r="G247" s="4" t="n">
        <v>1739629.76</v>
      </c>
      <c r="H247" s="4" t="n">
        <v>1.2183</v>
      </c>
    </row>
    <row r="248" customFormat="false" ht="15" hidden="false" customHeight="false" outlineLevel="0" collapsed="false">
      <c r="A248" s="4" t="s">
        <v>57</v>
      </c>
      <c r="B248" s="4" t="s">
        <v>67</v>
      </c>
      <c r="C248" s="4" t="n">
        <v>10</v>
      </c>
      <c r="D248" s="4" t="n">
        <v>109</v>
      </c>
      <c r="E248" s="4" t="n">
        <v>75</v>
      </c>
      <c r="F248" s="4" t="n">
        <v>0.6881</v>
      </c>
      <c r="G248" s="4" t="n">
        <v>1725492.39</v>
      </c>
      <c r="H248" s="4" t="n">
        <v>1.2084</v>
      </c>
    </row>
    <row r="249" customFormat="false" ht="15" hidden="false" customHeight="false" outlineLevel="0" collapsed="false">
      <c r="A249" s="4" t="s">
        <v>58</v>
      </c>
      <c r="B249" s="4" t="s">
        <v>58</v>
      </c>
      <c r="C249" s="4" t="n">
        <v>0</v>
      </c>
      <c r="D249" s="4" t="n">
        <v>108</v>
      </c>
      <c r="E249" s="4" t="n">
        <v>108</v>
      </c>
      <c r="F249" s="4" t="n">
        <v>1</v>
      </c>
      <c r="G249" s="4" t="n">
        <v>1700555.76</v>
      </c>
      <c r="H249" s="4" t="n">
        <v>1</v>
      </c>
    </row>
    <row r="250" customFormat="false" ht="15" hidden="false" customHeight="false" outlineLevel="0" collapsed="false">
      <c r="A250" s="4" t="s">
        <v>58</v>
      </c>
      <c r="B250" s="4" t="s">
        <v>59</v>
      </c>
      <c r="C250" s="4" t="n">
        <v>1</v>
      </c>
      <c r="D250" s="4" t="n">
        <v>108</v>
      </c>
      <c r="E250" s="4" t="n">
        <v>93</v>
      </c>
      <c r="F250" s="4" t="n">
        <v>0.8611</v>
      </c>
      <c r="G250" s="4" t="n">
        <v>1749356.78</v>
      </c>
      <c r="H250" s="4" t="n">
        <v>1.0287</v>
      </c>
    </row>
    <row r="251" customFormat="false" ht="15" hidden="false" customHeight="false" outlineLevel="0" collapsed="false">
      <c r="A251" s="4" t="s">
        <v>58</v>
      </c>
      <c r="B251" s="4" t="s">
        <v>60</v>
      </c>
      <c r="C251" s="4" t="n">
        <v>2</v>
      </c>
      <c r="D251" s="4" t="n">
        <v>108</v>
      </c>
      <c r="E251" s="4" t="n">
        <v>86</v>
      </c>
      <c r="F251" s="4" t="n">
        <v>0.7963</v>
      </c>
      <c r="G251" s="4" t="n">
        <v>1605130.39</v>
      </c>
      <c r="H251" s="4" t="n">
        <v>0.9439</v>
      </c>
    </row>
    <row r="252" customFormat="false" ht="15" hidden="false" customHeight="false" outlineLevel="0" collapsed="false">
      <c r="A252" s="4" t="s">
        <v>58</v>
      </c>
      <c r="B252" s="4" t="s">
        <v>61</v>
      </c>
      <c r="C252" s="4" t="n">
        <v>3</v>
      </c>
      <c r="D252" s="4" t="n">
        <v>108</v>
      </c>
      <c r="E252" s="4" t="n">
        <v>78</v>
      </c>
      <c r="F252" s="4" t="n">
        <v>0.7222</v>
      </c>
      <c r="G252" s="4" t="n">
        <v>1528358.17</v>
      </c>
      <c r="H252" s="4" t="n">
        <v>0.8987</v>
      </c>
    </row>
    <row r="253" customFormat="false" ht="15" hidden="false" customHeight="false" outlineLevel="0" collapsed="false">
      <c r="A253" s="4" t="s">
        <v>58</v>
      </c>
      <c r="B253" s="4" t="s">
        <v>62</v>
      </c>
      <c r="C253" s="4" t="n">
        <v>4</v>
      </c>
      <c r="D253" s="4" t="n">
        <v>108</v>
      </c>
      <c r="E253" s="4" t="n">
        <v>77</v>
      </c>
      <c r="F253" s="4" t="n">
        <v>0.713</v>
      </c>
      <c r="G253" s="4" t="n">
        <v>1742437.15</v>
      </c>
      <c r="H253" s="4" t="n">
        <v>1.0246</v>
      </c>
    </row>
    <row r="254" customFormat="false" ht="15" hidden="false" customHeight="false" outlineLevel="0" collapsed="false">
      <c r="A254" s="4" t="s">
        <v>58</v>
      </c>
      <c r="B254" s="4" t="s">
        <v>63</v>
      </c>
      <c r="C254" s="4" t="n">
        <v>5</v>
      </c>
      <c r="D254" s="4" t="n">
        <v>108</v>
      </c>
      <c r="E254" s="4" t="n">
        <v>74</v>
      </c>
      <c r="F254" s="4" t="n">
        <v>0.6852</v>
      </c>
      <c r="G254" s="4" t="n">
        <v>2032355.98</v>
      </c>
      <c r="H254" s="4" t="n">
        <v>1.1951</v>
      </c>
    </row>
    <row r="255" customFormat="false" ht="15" hidden="false" customHeight="false" outlineLevel="0" collapsed="false">
      <c r="A255" s="4" t="s">
        <v>58</v>
      </c>
      <c r="B255" s="4" t="s">
        <v>64</v>
      </c>
      <c r="C255" s="4" t="n">
        <v>6</v>
      </c>
      <c r="D255" s="4" t="n">
        <v>108</v>
      </c>
      <c r="E255" s="4" t="n">
        <v>73</v>
      </c>
      <c r="F255" s="4" t="n">
        <v>0.6759</v>
      </c>
      <c r="G255" s="4" t="n">
        <v>1841181.24</v>
      </c>
      <c r="H255" s="4" t="n">
        <v>1.0827</v>
      </c>
    </row>
    <row r="256" customFormat="false" ht="15" hidden="false" customHeight="false" outlineLevel="0" collapsed="false">
      <c r="A256" s="4" t="s">
        <v>58</v>
      </c>
      <c r="B256" s="4" t="s">
        <v>65</v>
      </c>
      <c r="C256" s="4" t="n">
        <v>7</v>
      </c>
      <c r="D256" s="4" t="n">
        <v>108</v>
      </c>
      <c r="E256" s="4" t="n">
        <v>78</v>
      </c>
      <c r="F256" s="4" t="n">
        <v>0.7222</v>
      </c>
      <c r="G256" s="4" t="n">
        <v>2035545.77</v>
      </c>
      <c r="H256" s="4" t="n">
        <v>1.197</v>
      </c>
    </row>
    <row r="257" customFormat="false" ht="15" hidden="false" customHeight="false" outlineLevel="0" collapsed="false">
      <c r="A257" s="4" t="s">
        <v>58</v>
      </c>
      <c r="B257" s="4" t="s">
        <v>66</v>
      </c>
      <c r="C257" s="4" t="n">
        <v>8</v>
      </c>
      <c r="D257" s="4" t="n">
        <v>108</v>
      </c>
      <c r="E257" s="4" t="n">
        <v>76</v>
      </c>
      <c r="F257" s="4" t="n">
        <v>0.7037</v>
      </c>
      <c r="G257" s="4" t="n">
        <v>1834405.1</v>
      </c>
      <c r="H257" s="4" t="n">
        <v>1.0787</v>
      </c>
    </row>
    <row r="258" customFormat="false" ht="15" hidden="false" customHeight="false" outlineLevel="0" collapsed="false">
      <c r="A258" s="4" t="s">
        <v>58</v>
      </c>
      <c r="B258" s="4" t="s">
        <v>67</v>
      </c>
      <c r="C258" s="4" t="n">
        <v>9</v>
      </c>
      <c r="D258" s="4" t="n">
        <v>108</v>
      </c>
      <c r="E258" s="4" t="n">
        <v>75</v>
      </c>
      <c r="F258" s="4" t="n">
        <v>0.6944</v>
      </c>
      <c r="G258" s="4" t="n">
        <v>1870319.82</v>
      </c>
      <c r="H258" s="4" t="n">
        <v>1.0998</v>
      </c>
    </row>
    <row r="259" customFormat="false" ht="15" hidden="false" customHeight="false" outlineLevel="0" collapsed="false">
      <c r="A259" s="4" t="s">
        <v>59</v>
      </c>
      <c r="B259" s="4" t="s">
        <v>59</v>
      </c>
      <c r="C259" s="4" t="n">
        <v>0</v>
      </c>
      <c r="D259" s="4" t="n">
        <v>123</v>
      </c>
      <c r="E259" s="4" t="n">
        <v>123</v>
      </c>
      <c r="F259" s="4" t="n">
        <v>1</v>
      </c>
      <c r="G259" s="4" t="n">
        <v>2281294.93</v>
      </c>
      <c r="H259" s="4" t="n">
        <v>1</v>
      </c>
    </row>
    <row r="260" customFormat="false" ht="15" hidden="false" customHeight="false" outlineLevel="0" collapsed="false">
      <c r="A260" s="4" t="s">
        <v>59</v>
      </c>
      <c r="B260" s="4" t="s">
        <v>60</v>
      </c>
      <c r="C260" s="4" t="n">
        <v>1</v>
      </c>
      <c r="D260" s="4" t="n">
        <v>123</v>
      </c>
      <c r="E260" s="4" t="n">
        <v>119</v>
      </c>
      <c r="F260" s="4" t="n">
        <v>0.9675</v>
      </c>
      <c r="G260" s="4" t="n">
        <v>2458233.75</v>
      </c>
      <c r="H260" s="4" t="n">
        <v>1.0776</v>
      </c>
    </row>
    <row r="261" customFormat="false" ht="15" hidden="false" customHeight="false" outlineLevel="0" collapsed="false">
      <c r="A261" s="4" t="s">
        <v>59</v>
      </c>
      <c r="B261" s="4" t="s">
        <v>61</v>
      </c>
      <c r="C261" s="4" t="n">
        <v>2</v>
      </c>
      <c r="D261" s="4" t="n">
        <v>123</v>
      </c>
      <c r="E261" s="4" t="n">
        <v>108</v>
      </c>
      <c r="F261" s="4" t="n">
        <v>0.878</v>
      </c>
      <c r="G261" s="4" t="n">
        <v>2430140.33</v>
      </c>
      <c r="H261" s="4" t="n">
        <v>1.0652</v>
      </c>
    </row>
    <row r="262" customFormat="false" ht="15" hidden="false" customHeight="false" outlineLevel="0" collapsed="false">
      <c r="A262" s="4" t="s">
        <v>59</v>
      </c>
      <c r="B262" s="4" t="s">
        <v>62</v>
      </c>
      <c r="C262" s="4" t="n">
        <v>3</v>
      </c>
      <c r="D262" s="4" t="n">
        <v>123</v>
      </c>
      <c r="E262" s="4" t="n">
        <v>92</v>
      </c>
      <c r="F262" s="4" t="n">
        <v>0.748</v>
      </c>
      <c r="G262" s="4" t="n">
        <v>2560517.21</v>
      </c>
      <c r="H262" s="4" t="n">
        <v>1.1224</v>
      </c>
    </row>
    <row r="263" customFormat="false" ht="15" hidden="false" customHeight="false" outlineLevel="0" collapsed="false">
      <c r="A263" s="4" t="s">
        <v>59</v>
      </c>
      <c r="B263" s="4" t="s">
        <v>63</v>
      </c>
      <c r="C263" s="4" t="n">
        <v>4</v>
      </c>
      <c r="D263" s="4" t="n">
        <v>123</v>
      </c>
      <c r="E263" s="4" t="n">
        <v>89</v>
      </c>
      <c r="F263" s="4" t="n">
        <v>0.7236</v>
      </c>
      <c r="G263" s="4" t="n">
        <v>3132649.59</v>
      </c>
      <c r="H263" s="4" t="n">
        <v>1.3732</v>
      </c>
    </row>
    <row r="264" customFormat="false" ht="15" hidden="false" customHeight="false" outlineLevel="0" collapsed="false">
      <c r="A264" s="4" t="s">
        <v>59</v>
      </c>
      <c r="B264" s="4" t="s">
        <v>64</v>
      </c>
      <c r="C264" s="4" t="n">
        <v>5</v>
      </c>
      <c r="D264" s="4" t="n">
        <v>123</v>
      </c>
      <c r="E264" s="4" t="n">
        <v>89</v>
      </c>
      <c r="F264" s="4" t="n">
        <v>0.7236</v>
      </c>
      <c r="G264" s="4" t="n">
        <v>2833903.16</v>
      </c>
      <c r="H264" s="4" t="n">
        <v>1.2422</v>
      </c>
    </row>
    <row r="265" customFormat="false" ht="15" hidden="false" customHeight="false" outlineLevel="0" collapsed="false">
      <c r="A265" s="4" t="s">
        <v>59</v>
      </c>
      <c r="B265" s="4" t="s">
        <v>65</v>
      </c>
      <c r="C265" s="4" t="n">
        <v>6</v>
      </c>
      <c r="D265" s="4" t="n">
        <v>123</v>
      </c>
      <c r="E265" s="4" t="n">
        <v>88</v>
      </c>
      <c r="F265" s="4" t="n">
        <v>0.7154</v>
      </c>
      <c r="G265" s="4" t="n">
        <v>2801188.39</v>
      </c>
      <c r="H265" s="4" t="n">
        <v>1.2279</v>
      </c>
    </row>
    <row r="266" customFormat="false" ht="15" hidden="false" customHeight="false" outlineLevel="0" collapsed="false">
      <c r="A266" s="4" t="s">
        <v>59</v>
      </c>
      <c r="B266" s="4" t="s">
        <v>66</v>
      </c>
      <c r="C266" s="4" t="n">
        <v>7</v>
      </c>
      <c r="D266" s="4" t="n">
        <v>123</v>
      </c>
      <c r="E266" s="4" t="n">
        <v>89</v>
      </c>
      <c r="F266" s="4" t="n">
        <v>0.7236</v>
      </c>
      <c r="G266" s="4" t="n">
        <v>2631249.62</v>
      </c>
      <c r="H266" s="4" t="n">
        <v>1.1534</v>
      </c>
    </row>
    <row r="267" customFormat="false" ht="15" hidden="false" customHeight="false" outlineLevel="0" collapsed="false">
      <c r="A267" s="4" t="s">
        <v>59</v>
      </c>
      <c r="B267" s="4" t="s">
        <v>67</v>
      </c>
      <c r="C267" s="4" t="n">
        <v>8</v>
      </c>
      <c r="D267" s="4" t="n">
        <v>123</v>
      </c>
      <c r="E267" s="4" t="n">
        <v>90</v>
      </c>
      <c r="F267" s="4" t="n">
        <v>0.7317</v>
      </c>
      <c r="G267" s="4" t="n">
        <v>2677728.58</v>
      </c>
      <c r="H267" s="4" t="n">
        <v>1.1738</v>
      </c>
    </row>
    <row r="268" customFormat="false" ht="15" hidden="false" customHeight="false" outlineLevel="0" collapsed="false">
      <c r="A268" s="4" t="s">
        <v>60</v>
      </c>
      <c r="B268" s="4" t="s">
        <v>60</v>
      </c>
      <c r="C268" s="4" t="n">
        <v>0</v>
      </c>
      <c r="D268" s="4" t="n">
        <v>108</v>
      </c>
      <c r="E268" s="4" t="n">
        <v>108</v>
      </c>
      <c r="F268" s="4" t="n">
        <v>1</v>
      </c>
      <c r="G268" s="4" t="n">
        <v>1672626.24</v>
      </c>
      <c r="H268" s="4" t="n">
        <v>1</v>
      </c>
    </row>
    <row r="269" customFormat="false" ht="15" hidden="false" customHeight="false" outlineLevel="0" collapsed="false">
      <c r="A269" s="4" t="s">
        <v>60</v>
      </c>
      <c r="B269" s="4" t="s">
        <v>61</v>
      </c>
      <c r="C269" s="4" t="n">
        <v>1</v>
      </c>
      <c r="D269" s="4" t="n">
        <v>108</v>
      </c>
      <c r="E269" s="4" t="n">
        <v>99</v>
      </c>
      <c r="F269" s="4" t="n">
        <v>0.9167</v>
      </c>
      <c r="G269" s="4" t="n">
        <v>1734425.71</v>
      </c>
      <c r="H269" s="4" t="n">
        <v>1.0369</v>
      </c>
    </row>
    <row r="270" customFormat="false" ht="15" hidden="false" customHeight="false" outlineLevel="0" collapsed="false">
      <c r="A270" s="4" t="s">
        <v>60</v>
      </c>
      <c r="B270" s="4" t="s">
        <v>62</v>
      </c>
      <c r="C270" s="4" t="n">
        <v>2</v>
      </c>
      <c r="D270" s="4" t="n">
        <v>108</v>
      </c>
      <c r="E270" s="4" t="n">
        <v>90</v>
      </c>
      <c r="F270" s="4" t="n">
        <v>0.8333</v>
      </c>
      <c r="G270" s="4" t="n">
        <v>1982637.98</v>
      </c>
      <c r="H270" s="4" t="n">
        <v>1.1853</v>
      </c>
    </row>
    <row r="271" customFormat="false" ht="15" hidden="false" customHeight="false" outlineLevel="0" collapsed="false">
      <c r="A271" s="4" t="s">
        <v>60</v>
      </c>
      <c r="B271" s="4" t="s">
        <v>63</v>
      </c>
      <c r="C271" s="4" t="n">
        <v>3</v>
      </c>
      <c r="D271" s="4" t="n">
        <v>108</v>
      </c>
      <c r="E271" s="4" t="n">
        <v>86</v>
      </c>
      <c r="F271" s="4" t="n">
        <v>0.7963</v>
      </c>
      <c r="G271" s="4" t="n">
        <v>2525053.64</v>
      </c>
      <c r="H271" s="4" t="n">
        <v>1.5096</v>
      </c>
    </row>
    <row r="272" customFormat="false" ht="15" hidden="false" customHeight="false" outlineLevel="0" collapsed="false">
      <c r="A272" s="4" t="s">
        <v>60</v>
      </c>
      <c r="B272" s="4" t="s">
        <v>64</v>
      </c>
      <c r="C272" s="4" t="n">
        <v>4</v>
      </c>
      <c r="D272" s="4" t="n">
        <v>108</v>
      </c>
      <c r="E272" s="4" t="n">
        <v>81</v>
      </c>
      <c r="F272" s="4" t="n">
        <v>0.75</v>
      </c>
      <c r="G272" s="4" t="n">
        <v>2555892.92</v>
      </c>
      <c r="H272" s="4" t="n">
        <v>1.5281</v>
      </c>
    </row>
    <row r="273" customFormat="false" ht="15" hidden="false" customHeight="false" outlineLevel="0" collapsed="false">
      <c r="A273" s="4" t="s">
        <v>60</v>
      </c>
      <c r="B273" s="4" t="s">
        <v>65</v>
      </c>
      <c r="C273" s="4" t="n">
        <v>5</v>
      </c>
      <c r="D273" s="4" t="n">
        <v>108</v>
      </c>
      <c r="E273" s="4" t="n">
        <v>77</v>
      </c>
      <c r="F273" s="4" t="n">
        <v>0.713</v>
      </c>
      <c r="G273" s="4" t="n">
        <v>2540410.73</v>
      </c>
      <c r="H273" s="4" t="n">
        <v>1.5188</v>
      </c>
    </row>
    <row r="274" customFormat="false" ht="15" hidden="false" customHeight="false" outlineLevel="0" collapsed="false">
      <c r="A274" s="4" t="s">
        <v>60</v>
      </c>
      <c r="B274" s="4" t="s">
        <v>66</v>
      </c>
      <c r="C274" s="4" t="n">
        <v>6</v>
      </c>
      <c r="D274" s="4" t="n">
        <v>108</v>
      </c>
      <c r="E274" s="4" t="n">
        <v>77</v>
      </c>
      <c r="F274" s="4" t="n">
        <v>0.713</v>
      </c>
      <c r="G274" s="4" t="n">
        <v>2311208.82</v>
      </c>
      <c r="H274" s="4" t="n">
        <v>1.3818</v>
      </c>
    </row>
    <row r="275" customFormat="false" ht="15" hidden="false" customHeight="false" outlineLevel="0" collapsed="false">
      <c r="A275" s="4" t="s">
        <v>60</v>
      </c>
      <c r="B275" s="4" t="s">
        <v>67</v>
      </c>
      <c r="C275" s="4" t="n">
        <v>7</v>
      </c>
      <c r="D275" s="4" t="n">
        <v>108</v>
      </c>
      <c r="E275" s="4" t="n">
        <v>76</v>
      </c>
      <c r="F275" s="4" t="n">
        <v>0.7037</v>
      </c>
      <c r="G275" s="4" t="n">
        <v>2272778.31</v>
      </c>
      <c r="H275" s="4" t="n">
        <v>1.3588</v>
      </c>
    </row>
    <row r="276" customFormat="false" ht="15" hidden="false" customHeight="false" outlineLevel="0" collapsed="false">
      <c r="A276" s="4" t="s">
        <v>61</v>
      </c>
      <c r="B276" s="4" t="s">
        <v>61</v>
      </c>
      <c r="C276" s="4" t="n">
        <v>0</v>
      </c>
      <c r="D276" s="4" t="n">
        <v>143</v>
      </c>
      <c r="E276" s="4" t="n">
        <v>143</v>
      </c>
      <c r="F276" s="4" t="n">
        <v>1</v>
      </c>
      <c r="G276" s="4" t="n">
        <v>1792909.97</v>
      </c>
      <c r="H276" s="4" t="n">
        <v>1</v>
      </c>
    </row>
    <row r="277" customFormat="false" ht="15" hidden="false" customHeight="false" outlineLevel="0" collapsed="false">
      <c r="A277" s="4" t="s">
        <v>61</v>
      </c>
      <c r="B277" s="4" t="s">
        <v>62</v>
      </c>
      <c r="C277" s="4" t="n">
        <v>1</v>
      </c>
      <c r="D277" s="4" t="n">
        <v>143</v>
      </c>
      <c r="E277" s="4" t="n">
        <v>126</v>
      </c>
      <c r="F277" s="4" t="n">
        <v>0.8811</v>
      </c>
      <c r="G277" s="4" t="n">
        <v>1656653.55</v>
      </c>
      <c r="H277" s="4" t="n">
        <v>0.924</v>
      </c>
    </row>
    <row r="278" customFormat="false" ht="15" hidden="false" customHeight="false" outlineLevel="0" collapsed="false">
      <c r="A278" s="4" t="s">
        <v>61</v>
      </c>
      <c r="B278" s="4" t="s">
        <v>63</v>
      </c>
      <c r="C278" s="4" t="n">
        <v>2</v>
      </c>
      <c r="D278" s="4" t="n">
        <v>143</v>
      </c>
      <c r="E278" s="4" t="n">
        <v>120</v>
      </c>
      <c r="F278" s="4" t="n">
        <v>0.8392</v>
      </c>
      <c r="G278" s="4" t="n">
        <v>2106328.98</v>
      </c>
      <c r="H278" s="4" t="n">
        <v>1.1748</v>
      </c>
    </row>
    <row r="279" customFormat="false" ht="15" hidden="false" customHeight="false" outlineLevel="0" collapsed="false">
      <c r="A279" s="4" t="s">
        <v>61</v>
      </c>
      <c r="B279" s="4" t="s">
        <v>64</v>
      </c>
      <c r="C279" s="4" t="n">
        <v>3</v>
      </c>
      <c r="D279" s="4" t="n">
        <v>143</v>
      </c>
      <c r="E279" s="4" t="n">
        <v>111</v>
      </c>
      <c r="F279" s="4" t="n">
        <v>0.7762</v>
      </c>
      <c r="G279" s="4" t="n">
        <v>2250590.26</v>
      </c>
      <c r="H279" s="4" t="n">
        <v>1.2553</v>
      </c>
    </row>
    <row r="280" customFormat="false" ht="15" hidden="false" customHeight="false" outlineLevel="0" collapsed="false">
      <c r="A280" s="4" t="s">
        <v>61</v>
      </c>
      <c r="B280" s="4" t="s">
        <v>65</v>
      </c>
      <c r="C280" s="4" t="n">
        <v>4</v>
      </c>
      <c r="D280" s="4" t="n">
        <v>143</v>
      </c>
      <c r="E280" s="4" t="n">
        <v>105</v>
      </c>
      <c r="F280" s="4" t="n">
        <v>0.7343</v>
      </c>
      <c r="G280" s="4" t="n">
        <v>2479295.24</v>
      </c>
      <c r="H280" s="4" t="n">
        <v>1.3828</v>
      </c>
    </row>
    <row r="281" customFormat="false" ht="15" hidden="false" customHeight="false" outlineLevel="0" collapsed="false">
      <c r="A281" s="4" t="s">
        <v>61</v>
      </c>
      <c r="B281" s="4" t="s">
        <v>66</v>
      </c>
      <c r="C281" s="4" t="n">
        <v>5</v>
      </c>
      <c r="D281" s="4" t="n">
        <v>143</v>
      </c>
      <c r="E281" s="4" t="n">
        <v>108</v>
      </c>
      <c r="F281" s="4" t="n">
        <v>0.7552</v>
      </c>
      <c r="G281" s="4" t="n">
        <v>2386890.27</v>
      </c>
      <c r="H281" s="4" t="n">
        <v>1.3313</v>
      </c>
    </row>
    <row r="282" customFormat="false" ht="15" hidden="false" customHeight="false" outlineLevel="0" collapsed="false">
      <c r="A282" s="4" t="s">
        <v>61</v>
      </c>
      <c r="B282" s="4" t="s">
        <v>67</v>
      </c>
      <c r="C282" s="4" t="n">
        <v>6</v>
      </c>
      <c r="D282" s="4" t="n">
        <v>143</v>
      </c>
      <c r="E282" s="4" t="n">
        <v>105</v>
      </c>
      <c r="F282" s="4" t="n">
        <v>0.7343</v>
      </c>
      <c r="G282" s="4" t="n">
        <v>2208903.05</v>
      </c>
      <c r="H282" s="4" t="n">
        <v>1.232</v>
      </c>
    </row>
    <row r="283" customFormat="false" ht="15" hidden="false" customHeight="false" outlineLevel="0" collapsed="false">
      <c r="A283" s="4" t="s">
        <v>62</v>
      </c>
      <c r="B283" s="4" t="s">
        <v>62</v>
      </c>
      <c r="C283" s="4" t="n">
        <v>0</v>
      </c>
      <c r="D283" s="4" t="n">
        <v>126</v>
      </c>
      <c r="E283" s="4" t="n">
        <v>126</v>
      </c>
      <c r="F283" s="4" t="n">
        <v>1</v>
      </c>
      <c r="G283" s="4" t="n">
        <v>1486925.51</v>
      </c>
      <c r="H283" s="4" t="n">
        <v>1</v>
      </c>
    </row>
    <row r="284" customFormat="false" ht="15" hidden="false" customHeight="false" outlineLevel="0" collapsed="false">
      <c r="A284" s="4" t="s">
        <v>62</v>
      </c>
      <c r="B284" s="4" t="s">
        <v>63</v>
      </c>
      <c r="C284" s="4" t="n">
        <v>1</v>
      </c>
      <c r="D284" s="4" t="n">
        <v>126</v>
      </c>
      <c r="E284" s="4" t="n">
        <v>122</v>
      </c>
      <c r="F284" s="4" t="n">
        <v>0.9683</v>
      </c>
      <c r="G284" s="4" t="n">
        <v>2081483.66</v>
      </c>
      <c r="H284" s="4" t="n">
        <v>1.3999</v>
      </c>
    </row>
    <row r="285" customFormat="false" ht="15" hidden="false" customHeight="false" outlineLevel="0" collapsed="false">
      <c r="A285" s="4" t="s">
        <v>62</v>
      </c>
      <c r="B285" s="4" t="s">
        <v>64</v>
      </c>
      <c r="C285" s="4" t="n">
        <v>2</v>
      </c>
      <c r="D285" s="4" t="n">
        <v>126</v>
      </c>
      <c r="E285" s="4" t="n">
        <v>117</v>
      </c>
      <c r="F285" s="4" t="n">
        <v>0.9286</v>
      </c>
      <c r="G285" s="4" t="n">
        <v>2276429.18</v>
      </c>
      <c r="H285" s="4" t="n">
        <v>1.531</v>
      </c>
    </row>
    <row r="286" customFormat="false" ht="15" hidden="false" customHeight="false" outlineLevel="0" collapsed="false">
      <c r="A286" s="4" t="s">
        <v>62</v>
      </c>
      <c r="B286" s="4" t="s">
        <v>65</v>
      </c>
      <c r="C286" s="4" t="n">
        <v>3</v>
      </c>
      <c r="D286" s="4" t="n">
        <v>126</v>
      </c>
      <c r="E286" s="4" t="n">
        <v>100</v>
      </c>
      <c r="F286" s="4" t="n">
        <v>0.7937</v>
      </c>
      <c r="G286" s="4" t="n">
        <v>2373123.76</v>
      </c>
      <c r="H286" s="4" t="n">
        <v>1.596</v>
      </c>
    </row>
    <row r="287" customFormat="false" ht="15" hidden="false" customHeight="false" outlineLevel="0" collapsed="false">
      <c r="A287" s="4" t="s">
        <v>62</v>
      </c>
      <c r="B287" s="4" t="s">
        <v>66</v>
      </c>
      <c r="C287" s="4" t="n">
        <v>4</v>
      </c>
      <c r="D287" s="4" t="n">
        <v>126</v>
      </c>
      <c r="E287" s="4" t="n">
        <v>99</v>
      </c>
      <c r="F287" s="4" t="n">
        <v>0.7857</v>
      </c>
      <c r="G287" s="4" t="n">
        <v>2395337.18</v>
      </c>
      <c r="H287" s="4" t="n">
        <v>1.6109</v>
      </c>
    </row>
    <row r="288" customFormat="false" ht="15" hidden="false" customHeight="false" outlineLevel="0" collapsed="false">
      <c r="A288" s="4" t="s">
        <v>62</v>
      </c>
      <c r="B288" s="4" t="s">
        <v>67</v>
      </c>
      <c r="C288" s="4" t="n">
        <v>5</v>
      </c>
      <c r="D288" s="4" t="n">
        <v>126</v>
      </c>
      <c r="E288" s="4" t="n">
        <v>95</v>
      </c>
      <c r="F288" s="4" t="n">
        <v>0.754</v>
      </c>
      <c r="G288" s="4" t="n">
        <v>2334699.76</v>
      </c>
      <c r="H288" s="4" t="n">
        <v>1.5702</v>
      </c>
    </row>
    <row r="289" customFormat="false" ht="15" hidden="false" customHeight="false" outlineLevel="0" collapsed="false">
      <c r="A289" s="4" t="s">
        <v>63</v>
      </c>
      <c r="B289" s="4" t="s">
        <v>63</v>
      </c>
      <c r="C289" s="4" t="n">
        <v>0</v>
      </c>
      <c r="D289" s="4" t="n">
        <v>108</v>
      </c>
      <c r="E289" s="4" t="n">
        <v>108</v>
      </c>
      <c r="F289" s="4" t="n">
        <v>1</v>
      </c>
      <c r="G289" s="4" t="n">
        <v>2010481.6</v>
      </c>
      <c r="H289" s="4" t="n">
        <v>1</v>
      </c>
    </row>
    <row r="290" customFormat="false" ht="15" hidden="false" customHeight="false" outlineLevel="0" collapsed="false">
      <c r="A290" s="4" t="s">
        <v>63</v>
      </c>
      <c r="B290" s="4" t="s">
        <v>64</v>
      </c>
      <c r="C290" s="4" t="n">
        <v>1</v>
      </c>
      <c r="D290" s="4" t="n">
        <v>108</v>
      </c>
      <c r="E290" s="4" t="n">
        <v>104</v>
      </c>
      <c r="F290" s="4" t="n">
        <v>0.963</v>
      </c>
      <c r="G290" s="4" t="n">
        <v>2098605.92</v>
      </c>
      <c r="H290" s="4" t="n">
        <v>1.0438</v>
      </c>
    </row>
    <row r="291" customFormat="false" ht="15" hidden="false" customHeight="false" outlineLevel="0" collapsed="false">
      <c r="A291" s="4" t="s">
        <v>63</v>
      </c>
      <c r="B291" s="4" t="s">
        <v>65</v>
      </c>
      <c r="C291" s="4" t="n">
        <v>2</v>
      </c>
      <c r="D291" s="4" t="n">
        <v>108</v>
      </c>
      <c r="E291" s="4" t="n">
        <v>98</v>
      </c>
      <c r="F291" s="4" t="n">
        <v>0.9074</v>
      </c>
      <c r="G291" s="4" t="n">
        <v>2306495.37</v>
      </c>
      <c r="H291" s="4" t="n">
        <v>1.1472</v>
      </c>
    </row>
    <row r="292" customFormat="false" ht="15" hidden="false" customHeight="false" outlineLevel="0" collapsed="false">
      <c r="A292" s="4" t="s">
        <v>63</v>
      </c>
      <c r="B292" s="4" t="s">
        <v>66</v>
      </c>
      <c r="C292" s="4" t="n">
        <v>3</v>
      </c>
      <c r="D292" s="4" t="n">
        <v>108</v>
      </c>
      <c r="E292" s="4" t="n">
        <v>97</v>
      </c>
      <c r="F292" s="4" t="n">
        <v>0.8981</v>
      </c>
      <c r="G292" s="4" t="n">
        <v>2481269.79</v>
      </c>
      <c r="H292" s="4" t="n">
        <v>1.2342</v>
      </c>
    </row>
    <row r="293" customFormat="false" ht="15" hidden="false" customHeight="false" outlineLevel="0" collapsed="false">
      <c r="A293" s="4" t="s">
        <v>63</v>
      </c>
      <c r="B293" s="4" t="s">
        <v>67</v>
      </c>
      <c r="C293" s="4" t="n">
        <v>4</v>
      </c>
      <c r="D293" s="4" t="n">
        <v>108</v>
      </c>
      <c r="E293" s="4" t="n">
        <v>93</v>
      </c>
      <c r="F293" s="4" t="n">
        <v>0.8611</v>
      </c>
      <c r="G293" s="4" t="n">
        <v>2539437.18</v>
      </c>
      <c r="H293" s="4" t="n">
        <v>1.2631</v>
      </c>
    </row>
    <row r="294" customFormat="false" ht="15" hidden="false" customHeight="false" outlineLevel="0" collapsed="false">
      <c r="A294" s="4" t="s">
        <v>64</v>
      </c>
      <c r="B294" s="4" t="s">
        <v>64</v>
      </c>
      <c r="C294" s="4" t="n">
        <v>0</v>
      </c>
      <c r="D294" s="4" t="n">
        <v>109</v>
      </c>
      <c r="E294" s="4" t="n">
        <v>109</v>
      </c>
      <c r="F294" s="4" t="n">
        <v>1</v>
      </c>
      <c r="G294" s="4" t="n">
        <v>1237544.33</v>
      </c>
      <c r="H294" s="4" t="n">
        <v>1</v>
      </c>
    </row>
    <row r="295" customFormat="false" ht="15" hidden="false" customHeight="false" outlineLevel="0" collapsed="false">
      <c r="A295" s="4" t="s">
        <v>64</v>
      </c>
      <c r="B295" s="4" t="s">
        <v>65</v>
      </c>
      <c r="C295" s="4" t="n">
        <v>1</v>
      </c>
      <c r="D295" s="4" t="n">
        <v>109</v>
      </c>
      <c r="E295" s="4" t="n">
        <v>103</v>
      </c>
      <c r="F295" s="4" t="n">
        <v>0.945</v>
      </c>
      <c r="G295" s="4" t="n">
        <v>1459295.79</v>
      </c>
      <c r="H295" s="4" t="n">
        <v>1.1792</v>
      </c>
    </row>
    <row r="296" customFormat="false" ht="15" hidden="false" customHeight="false" outlineLevel="0" collapsed="false">
      <c r="A296" s="4" t="s">
        <v>64</v>
      </c>
      <c r="B296" s="4" t="s">
        <v>66</v>
      </c>
      <c r="C296" s="4" t="n">
        <v>2</v>
      </c>
      <c r="D296" s="4" t="n">
        <v>109</v>
      </c>
      <c r="E296" s="4" t="n">
        <v>96</v>
      </c>
      <c r="F296" s="4" t="n">
        <v>0.8807</v>
      </c>
      <c r="G296" s="4" t="n">
        <v>1509229.12</v>
      </c>
      <c r="H296" s="4" t="n">
        <v>1.2195</v>
      </c>
    </row>
    <row r="297" customFormat="false" ht="15" hidden="false" customHeight="false" outlineLevel="0" collapsed="false">
      <c r="A297" s="4" t="s">
        <v>64</v>
      </c>
      <c r="B297" s="4" t="s">
        <v>67</v>
      </c>
      <c r="C297" s="4" t="n">
        <v>3</v>
      </c>
      <c r="D297" s="4" t="n">
        <v>109</v>
      </c>
      <c r="E297" s="4" t="n">
        <v>86</v>
      </c>
      <c r="F297" s="4" t="n">
        <v>0.789</v>
      </c>
      <c r="G297" s="4" t="n">
        <v>1557578.93</v>
      </c>
      <c r="H297" s="4" t="n">
        <v>1.2586</v>
      </c>
    </row>
    <row r="298" customFormat="false" ht="15" hidden="false" customHeight="false" outlineLevel="0" collapsed="false">
      <c r="A298" s="4" t="s">
        <v>65</v>
      </c>
      <c r="B298" s="4" t="s">
        <v>65</v>
      </c>
      <c r="C298" s="4" t="n">
        <v>0</v>
      </c>
      <c r="D298" s="4" t="n">
        <v>120</v>
      </c>
      <c r="E298" s="4" t="n">
        <v>120</v>
      </c>
      <c r="F298" s="4" t="n">
        <v>1</v>
      </c>
      <c r="G298" s="4" t="n">
        <v>1879842.68</v>
      </c>
      <c r="H298" s="4" t="n">
        <v>1</v>
      </c>
    </row>
    <row r="299" customFormat="false" ht="15" hidden="false" customHeight="false" outlineLevel="0" collapsed="false">
      <c r="A299" s="4" t="s">
        <v>65</v>
      </c>
      <c r="B299" s="4" t="s">
        <v>66</v>
      </c>
      <c r="C299" s="4" t="n">
        <v>1</v>
      </c>
      <c r="D299" s="4" t="n">
        <v>120</v>
      </c>
      <c r="E299" s="4" t="n">
        <v>115</v>
      </c>
      <c r="F299" s="4" t="n">
        <v>0.9583</v>
      </c>
      <c r="G299" s="4" t="n">
        <v>2098195.5</v>
      </c>
      <c r="H299" s="4" t="n">
        <v>1.1162</v>
      </c>
    </row>
    <row r="300" customFormat="false" ht="15" hidden="false" customHeight="false" outlineLevel="0" collapsed="false">
      <c r="A300" s="4" t="s">
        <v>65</v>
      </c>
      <c r="B300" s="4" t="s">
        <v>67</v>
      </c>
      <c r="C300" s="4" t="n">
        <v>2</v>
      </c>
      <c r="D300" s="4" t="n">
        <v>120</v>
      </c>
      <c r="E300" s="4" t="n">
        <v>110</v>
      </c>
      <c r="F300" s="4" t="n">
        <v>0.9167</v>
      </c>
      <c r="G300" s="4" t="n">
        <v>2364103.6</v>
      </c>
      <c r="H300" s="4" t="n">
        <v>1.2576</v>
      </c>
    </row>
    <row r="301" customFormat="false" ht="15" hidden="false" customHeight="false" outlineLevel="0" collapsed="false">
      <c r="A301" s="4" t="s">
        <v>66</v>
      </c>
      <c r="B301" s="4" t="s">
        <v>66</v>
      </c>
      <c r="C301" s="4" t="n">
        <v>0</v>
      </c>
      <c r="D301" s="4" t="n">
        <v>3</v>
      </c>
      <c r="E301" s="4" t="n">
        <v>3</v>
      </c>
      <c r="F301" s="4" t="n">
        <v>1</v>
      </c>
      <c r="G301" s="4" t="n">
        <v>7294.63</v>
      </c>
      <c r="H301" s="4" t="n">
        <v>1</v>
      </c>
    </row>
    <row r="302" customFormat="false" ht="15" hidden="false" customHeight="false" outlineLevel="0" collapsed="false">
      <c r="A302" s="4" t="s">
        <v>66</v>
      </c>
      <c r="B302" s="4" t="s">
        <v>67</v>
      </c>
      <c r="C302" s="4" t="n">
        <v>1</v>
      </c>
      <c r="D302" s="4" t="n">
        <v>3</v>
      </c>
      <c r="E302" s="4" t="n">
        <v>3</v>
      </c>
      <c r="F302" s="4" t="n">
        <v>1</v>
      </c>
      <c r="G302" s="4" t="n">
        <v>23047.97</v>
      </c>
      <c r="H302" s="4" t="n">
        <v>3.1596</v>
      </c>
    </row>
    <row r="303" customFormat="false" ht="15" hidden="false" customHeight="false" outlineLevel="0" collapsed="false">
      <c r="A303" s="4" t="s">
        <v>67</v>
      </c>
      <c r="B303" s="4" t="s">
        <v>67</v>
      </c>
      <c r="C303" s="4" t="n">
        <v>0</v>
      </c>
      <c r="D303" s="4" t="n">
        <v>2</v>
      </c>
      <c r="E303" s="4" t="n">
        <v>2</v>
      </c>
      <c r="F303" s="4" t="n">
        <v>1</v>
      </c>
      <c r="G303" s="4" t="n">
        <v>6911.72</v>
      </c>
      <c r="H303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3" customFormat="false" ht="15" hidden="false" customHeight="false" outlineLevel="0" collapsed="false">
      <c r="A3" s="7" t="s">
        <v>29</v>
      </c>
      <c r="B3" s="7" t="s">
        <v>74</v>
      </c>
      <c r="C3" s="7" t="s">
        <v>75</v>
      </c>
      <c r="D3" s="7" t="s">
        <v>76</v>
      </c>
      <c r="E3" s="7" t="s">
        <v>36</v>
      </c>
      <c r="F3" s="7" t="s">
        <v>77</v>
      </c>
      <c r="G3" s="7" t="s">
        <v>37</v>
      </c>
      <c r="H3" s="7" t="s">
        <v>78</v>
      </c>
    </row>
    <row r="4" customFormat="false" ht="15" hidden="false" customHeight="false" outlineLevel="0" collapsed="false">
      <c r="A4" s="4" t="s">
        <v>44</v>
      </c>
      <c r="B4" s="4" t="s">
        <v>79</v>
      </c>
      <c r="C4" s="4" t="n">
        <v>3358</v>
      </c>
      <c r="D4" s="4" t="n">
        <v>3119</v>
      </c>
      <c r="E4" s="4" t="n">
        <v>0.928827</v>
      </c>
      <c r="F4" s="4" t="n">
        <v>1357381.27</v>
      </c>
      <c r="G4" s="4" t="n">
        <v>95976.15</v>
      </c>
      <c r="H4" s="4" t="n">
        <v>0.023725</v>
      </c>
    </row>
    <row r="5" customFormat="false" ht="15" hidden="false" customHeight="false" outlineLevel="0" collapsed="false">
      <c r="A5" s="4" t="s">
        <v>44</v>
      </c>
      <c r="B5" s="4" t="s">
        <v>80</v>
      </c>
      <c r="C5" s="4" t="n">
        <v>13033</v>
      </c>
      <c r="D5" s="4" t="n">
        <v>12324</v>
      </c>
      <c r="E5" s="4" t="n">
        <v>0.9456</v>
      </c>
      <c r="F5" s="4" t="n">
        <v>4720669.95</v>
      </c>
      <c r="G5" s="4" t="n">
        <v>311507.57</v>
      </c>
      <c r="H5" s="4" t="n">
        <v>0.092079</v>
      </c>
    </row>
    <row r="6" customFormat="false" ht="15" hidden="false" customHeight="false" outlineLevel="0" collapsed="false">
      <c r="A6" s="4" t="s">
        <v>44</v>
      </c>
      <c r="B6" s="4" t="s">
        <v>81</v>
      </c>
      <c r="C6" s="4" t="n">
        <v>7973</v>
      </c>
      <c r="D6" s="4" t="n">
        <v>7271</v>
      </c>
      <c r="E6" s="4" t="n">
        <v>0.911953</v>
      </c>
      <c r="F6" s="4" t="n">
        <v>3019622.41</v>
      </c>
      <c r="G6" s="4" t="n">
        <v>299701.56</v>
      </c>
      <c r="H6" s="4" t="n">
        <v>0.05633</v>
      </c>
    </row>
    <row r="7" customFormat="false" ht="15" hidden="false" customHeight="false" outlineLevel="0" collapsed="false">
      <c r="A7" s="4" t="s">
        <v>44</v>
      </c>
      <c r="B7" s="4" t="s">
        <v>82</v>
      </c>
      <c r="C7" s="4" t="n">
        <v>7142</v>
      </c>
      <c r="D7" s="4" t="n">
        <v>6458</v>
      </c>
      <c r="E7" s="4" t="n">
        <v>0.904229</v>
      </c>
      <c r="F7" s="4" t="n">
        <v>2691905.57</v>
      </c>
      <c r="G7" s="4" t="n">
        <v>261025.59</v>
      </c>
      <c r="H7" s="4" t="n">
        <v>0.050459</v>
      </c>
    </row>
    <row r="8" customFormat="false" ht="15" hidden="false" customHeight="false" outlineLevel="0" collapsed="false">
      <c r="A8" s="4" t="s">
        <v>44</v>
      </c>
      <c r="B8" s="4" t="s">
        <v>83</v>
      </c>
      <c r="C8" s="4" t="n">
        <v>20638</v>
      </c>
      <c r="D8" s="4" t="n">
        <v>19793</v>
      </c>
      <c r="E8" s="4" t="n">
        <v>0.959056</v>
      </c>
      <c r="F8" s="4" t="n">
        <v>7586722.23</v>
      </c>
      <c r="G8" s="4" t="n">
        <v>360671.86</v>
      </c>
      <c r="H8" s="4" t="n">
        <v>0.145809</v>
      </c>
    </row>
    <row r="9" customFormat="false" ht="15" hidden="false" customHeight="false" outlineLevel="0" collapsed="false">
      <c r="A9" s="4" t="s">
        <v>44</v>
      </c>
      <c r="B9" s="4" t="s">
        <v>84</v>
      </c>
      <c r="C9" s="4" t="n">
        <v>15780</v>
      </c>
      <c r="D9" s="4" t="n">
        <v>15101</v>
      </c>
      <c r="E9" s="4" t="n">
        <v>0.956971</v>
      </c>
      <c r="F9" s="4" t="n">
        <v>6052279.34</v>
      </c>
      <c r="G9" s="4" t="n">
        <v>297337.89</v>
      </c>
      <c r="H9" s="4" t="n">
        <v>0.111487</v>
      </c>
    </row>
    <row r="10" customFormat="false" ht="15" hidden="false" customHeight="false" outlineLevel="0" collapsed="false">
      <c r="A10" s="4" t="s">
        <v>44</v>
      </c>
      <c r="B10" s="4" t="s">
        <v>85</v>
      </c>
      <c r="C10" s="4" t="n">
        <v>4327</v>
      </c>
      <c r="D10" s="4" t="n">
        <v>4077</v>
      </c>
      <c r="E10" s="4" t="n">
        <v>0.942223</v>
      </c>
      <c r="F10" s="4" t="n">
        <v>1703648.56</v>
      </c>
      <c r="G10" s="4" t="n">
        <v>97218.95</v>
      </c>
      <c r="H10" s="4" t="n">
        <v>0.030571</v>
      </c>
    </row>
    <row r="11" customFormat="false" ht="15" hidden="false" customHeight="false" outlineLevel="0" collapsed="false">
      <c r="A11" s="4" t="s">
        <v>44</v>
      </c>
      <c r="B11" s="4" t="s">
        <v>86</v>
      </c>
      <c r="C11" s="4" t="n">
        <v>8437</v>
      </c>
      <c r="D11" s="4" t="n">
        <v>8002</v>
      </c>
      <c r="E11" s="4" t="n">
        <v>0.948441</v>
      </c>
      <c r="F11" s="4" t="n">
        <v>3157872.09</v>
      </c>
      <c r="G11" s="4" t="n">
        <v>198282.81</v>
      </c>
      <c r="H11" s="4" t="n">
        <v>0.059608</v>
      </c>
    </row>
    <row r="12" customFormat="false" ht="15" hidden="false" customHeight="false" outlineLevel="0" collapsed="false">
      <c r="A12" s="4" t="s">
        <v>44</v>
      </c>
      <c r="B12" s="4" t="s">
        <v>87</v>
      </c>
      <c r="C12" s="4" t="n">
        <v>3735</v>
      </c>
      <c r="D12" s="4" t="n">
        <v>3486</v>
      </c>
      <c r="E12" s="4" t="n">
        <v>0.933333</v>
      </c>
      <c r="F12" s="4" t="n">
        <v>1442587.15</v>
      </c>
      <c r="G12" s="4" t="n">
        <v>125591.22</v>
      </c>
      <c r="H12" s="4" t="n">
        <v>0.026388</v>
      </c>
    </row>
    <row r="13" customFormat="false" ht="15" hidden="false" customHeight="false" outlineLevel="0" collapsed="false">
      <c r="A13" s="4" t="s">
        <v>44</v>
      </c>
      <c r="B13" s="4" t="s">
        <v>88</v>
      </c>
      <c r="C13" s="4" t="n">
        <v>10669</v>
      </c>
      <c r="D13" s="4" t="n">
        <v>9661</v>
      </c>
      <c r="E13" s="4" t="n">
        <v>0.905521</v>
      </c>
      <c r="F13" s="4" t="n">
        <v>4022616.77</v>
      </c>
      <c r="G13" s="4" t="n">
        <v>428263.12</v>
      </c>
      <c r="H13" s="4" t="n">
        <v>0.075377</v>
      </c>
    </row>
    <row r="14" customFormat="false" ht="15" hidden="false" customHeight="false" outlineLevel="0" collapsed="false">
      <c r="A14" s="4" t="s">
        <v>44</v>
      </c>
      <c r="B14" s="4" t="s">
        <v>89</v>
      </c>
      <c r="C14" s="4" t="n">
        <v>6706</v>
      </c>
      <c r="D14" s="4" t="n">
        <v>5820</v>
      </c>
      <c r="E14" s="4" t="n">
        <v>0.86788</v>
      </c>
      <c r="F14" s="4" t="n">
        <v>2374604.01</v>
      </c>
      <c r="G14" s="4" t="n">
        <v>323415.13</v>
      </c>
      <c r="H14" s="4" t="n">
        <v>0.047378</v>
      </c>
    </row>
    <row r="15" customFormat="false" ht="15" hidden="false" customHeight="false" outlineLevel="0" collapsed="false">
      <c r="A15" s="4" t="s">
        <v>44</v>
      </c>
      <c r="B15" s="4" t="s">
        <v>90</v>
      </c>
      <c r="C15" s="4" t="n">
        <v>27714</v>
      </c>
      <c r="D15" s="4" t="n">
        <v>25439</v>
      </c>
      <c r="E15" s="4" t="n">
        <v>0.917912</v>
      </c>
      <c r="F15" s="4" t="n">
        <v>9965658.48</v>
      </c>
      <c r="G15" s="4" t="n">
        <v>976856.12</v>
      </c>
      <c r="H15" s="4" t="n">
        <v>0.195802</v>
      </c>
    </row>
    <row r="16" customFormat="false" ht="15" hidden="false" customHeight="false" outlineLevel="0" collapsed="false">
      <c r="A16" s="4" t="s">
        <v>44</v>
      </c>
      <c r="B16" s="4" t="s">
        <v>91</v>
      </c>
      <c r="C16" s="4" t="n">
        <v>6624</v>
      </c>
      <c r="D16" s="4" t="n">
        <v>5925</v>
      </c>
      <c r="E16" s="4" t="n">
        <v>0.894475</v>
      </c>
      <c r="F16" s="4" t="n">
        <v>2434055.21</v>
      </c>
      <c r="G16" s="4" t="n">
        <v>295479.18</v>
      </c>
      <c r="H16" s="4" t="n">
        <v>0.046799</v>
      </c>
    </row>
    <row r="17" customFormat="false" ht="15" hidden="false" customHeight="false" outlineLevel="0" collapsed="false">
      <c r="A17" s="4" t="s">
        <v>44</v>
      </c>
      <c r="B17" s="4" t="s">
        <v>92</v>
      </c>
      <c r="C17" s="4" t="n">
        <v>5405</v>
      </c>
      <c r="D17" s="4" t="n">
        <v>5093</v>
      </c>
      <c r="E17" s="4" t="n">
        <v>0.942276</v>
      </c>
      <c r="F17" s="4" t="n">
        <v>2095470.76</v>
      </c>
      <c r="G17" s="4" t="n">
        <v>175768.69</v>
      </c>
      <c r="H17" s="4" t="n">
        <v>0.038187</v>
      </c>
    </row>
    <row r="18" customFormat="false" ht="15" hidden="false" customHeight="false" outlineLevel="0" collapsed="false">
      <c r="A18" s="4" t="s">
        <v>45</v>
      </c>
      <c r="B18" s="4" t="s">
        <v>79</v>
      </c>
      <c r="C18" s="4" t="n">
        <v>4368</v>
      </c>
      <c r="D18" s="4" t="n">
        <v>4084</v>
      </c>
      <c r="E18" s="4" t="n">
        <v>0.934982</v>
      </c>
      <c r="F18" s="4" t="n">
        <v>1622242.82</v>
      </c>
      <c r="G18" s="4" t="n">
        <v>105193.9</v>
      </c>
      <c r="H18" s="4" t="n">
        <v>0.02371</v>
      </c>
    </row>
    <row r="19" customFormat="false" ht="15" hidden="false" customHeight="false" outlineLevel="0" collapsed="false">
      <c r="A19" s="4" t="s">
        <v>45</v>
      </c>
      <c r="B19" s="4" t="s">
        <v>80</v>
      </c>
      <c r="C19" s="4" t="n">
        <v>17196</v>
      </c>
      <c r="D19" s="4" t="n">
        <v>16288</v>
      </c>
      <c r="E19" s="4" t="n">
        <v>0.947197</v>
      </c>
      <c r="F19" s="4" t="n">
        <v>6229727.63</v>
      </c>
      <c r="G19" s="4" t="n">
        <v>353542.39</v>
      </c>
      <c r="H19" s="4" t="n">
        <v>0.093343</v>
      </c>
    </row>
    <row r="20" customFormat="false" ht="15" hidden="false" customHeight="false" outlineLevel="0" collapsed="false">
      <c r="A20" s="4" t="s">
        <v>45</v>
      </c>
      <c r="B20" s="4" t="s">
        <v>81</v>
      </c>
      <c r="C20" s="4" t="n">
        <v>10382</v>
      </c>
      <c r="D20" s="4" t="n">
        <v>9439</v>
      </c>
      <c r="E20" s="4" t="n">
        <v>0.90917</v>
      </c>
      <c r="F20" s="4" t="n">
        <v>3794880.11</v>
      </c>
      <c r="G20" s="4" t="n">
        <v>361467.59</v>
      </c>
      <c r="H20" s="4" t="n">
        <v>0.056355</v>
      </c>
    </row>
    <row r="21" customFormat="false" ht="15" hidden="false" customHeight="false" outlineLevel="0" collapsed="false">
      <c r="A21" s="4" t="s">
        <v>45</v>
      </c>
      <c r="B21" s="4" t="s">
        <v>82</v>
      </c>
      <c r="C21" s="4" t="n">
        <v>9078</v>
      </c>
      <c r="D21" s="4" t="n">
        <v>8219</v>
      </c>
      <c r="E21" s="4" t="n">
        <v>0.905376</v>
      </c>
      <c r="F21" s="4" t="n">
        <v>3285497.52</v>
      </c>
      <c r="G21" s="4" t="n">
        <v>327382.07</v>
      </c>
      <c r="H21" s="4" t="n">
        <v>0.049277</v>
      </c>
    </row>
    <row r="22" customFormat="false" ht="15" hidden="false" customHeight="false" outlineLevel="0" collapsed="false">
      <c r="A22" s="4" t="s">
        <v>45</v>
      </c>
      <c r="B22" s="4" t="s">
        <v>83</v>
      </c>
      <c r="C22" s="4" t="n">
        <v>27178</v>
      </c>
      <c r="D22" s="4" t="n">
        <v>26049</v>
      </c>
      <c r="E22" s="4" t="n">
        <v>0.958459</v>
      </c>
      <c r="F22" s="4" t="n">
        <v>9839879.68</v>
      </c>
      <c r="G22" s="4" t="n">
        <v>515771.22</v>
      </c>
      <c r="H22" s="4" t="n">
        <v>0.147527</v>
      </c>
    </row>
    <row r="23" customFormat="false" ht="15" hidden="false" customHeight="false" outlineLevel="0" collapsed="false">
      <c r="A23" s="4" t="s">
        <v>45</v>
      </c>
      <c r="B23" s="4" t="s">
        <v>84</v>
      </c>
      <c r="C23" s="4" t="n">
        <v>20769</v>
      </c>
      <c r="D23" s="4" t="n">
        <v>19852</v>
      </c>
      <c r="E23" s="4" t="n">
        <v>0.955848</v>
      </c>
      <c r="F23" s="4" t="n">
        <v>7500460.56</v>
      </c>
      <c r="G23" s="4" t="n">
        <v>363092.68</v>
      </c>
      <c r="H23" s="4" t="n">
        <v>0.112738</v>
      </c>
    </row>
    <row r="24" customFormat="false" ht="15" hidden="false" customHeight="false" outlineLevel="0" collapsed="false">
      <c r="A24" s="4" t="s">
        <v>45</v>
      </c>
      <c r="B24" s="4" t="s">
        <v>85</v>
      </c>
      <c r="C24" s="4" t="n">
        <v>5482</v>
      </c>
      <c r="D24" s="4" t="n">
        <v>5188</v>
      </c>
      <c r="E24" s="4" t="n">
        <v>0.94637</v>
      </c>
      <c r="F24" s="4" t="n">
        <v>2087567.43</v>
      </c>
      <c r="G24" s="4" t="n">
        <v>104642.07</v>
      </c>
      <c r="H24" s="4" t="n">
        <v>0.029757</v>
      </c>
    </row>
    <row r="25" customFormat="false" ht="15" hidden="false" customHeight="false" outlineLevel="0" collapsed="false">
      <c r="A25" s="4" t="s">
        <v>45</v>
      </c>
      <c r="B25" s="4" t="s">
        <v>86</v>
      </c>
      <c r="C25" s="4" t="n">
        <v>10962</v>
      </c>
      <c r="D25" s="4" t="n">
        <v>10487</v>
      </c>
      <c r="E25" s="4" t="n">
        <v>0.956668</v>
      </c>
      <c r="F25" s="4" t="n">
        <v>3998904.05</v>
      </c>
      <c r="G25" s="4" t="n">
        <v>204880.46</v>
      </c>
      <c r="H25" s="4" t="n">
        <v>0.059504</v>
      </c>
    </row>
    <row r="26" customFormat="false" ht="15" hidden="false" customHeight="false" outlineLevel="0" collapsed="false">
      <c r="A26" s="4" t="s">
        <v>45</v>
      </c>
      <c r="B26" s="4" t="s">
        <v>87</v>
      </c>
      <c r="C26" s="4" t="n">
        <v>4764</v>
      </c>
      <c r="D26" s="4" t="n">
        <v>4494</v>
      </c>
      <c r="E26" s="4" t="n">
        <v>0.943325</v>
      </c>
      <c r="F26" s="4" t="n">
        <v>1786310.33</v>
      </c>
      <c r="G26" s="4" t="n">
        <v>112474.83</v>
      </c>
      <c r="H26" s="4" t="n">
        <v>0.02586</v>
      </c>
    </row>
    <row r="27" customFormat="false" ht="15" hidden="false" customHeight="false" outlineLevel="0" collapsed="false">
      <c r="A27" s="4" t="s">
        <v>45</v>
      </c>
      <c r="B27" s="4" t="s">
        <v>88</v>
      </c>
      <c r="C27" s="4" t="n">
        <v>14120</v>
      </c>
      <c r="D27" s="4" t="n">
        <v>12828</v>
      </c>
      <c r="E27" s="4" t="n">
        <v>0.908499</v>
      </c>
      <c r="F27" s="4" t="n">
        <v>5270940.34</v>
      </c>
      <c r="G27" s="4" t="n">
        <v>518712.71</v>
      </c>
      <c r="H27" s="4" t="n">
        <v>0.076646</v>
      </c>
    </row>
    <row r="28" customFormat="false" ht="15" hidden="false" customHeight="false" outlineLevel="0" collapsed="false">
      <c r="A28" s="4" t="s">
        <v>45</v>
      </c>
      <c r="B28" s="4" t="s">
        <v>89</v>
      </c>
      <c r="C28" s="4" t="n">
        <v>8677</v>
      </c>
      <c r="D28" s="4" t="n">
        <v>7535</v>
      </c>
      <c r="E28" s="4" t="n">
        <v>0.868388</v>
      </c>
      <c r="F28" s="4" t="n">
        <v>3094949.63</v>
      </c>
      <c r="G28" s="4" t="n">
        <v>445430.43</v>
      </c>
      <c r="H28" s="4" t="n">
        <v>0.0471</v>
      </c>
    </row>
    <row r="29" customFormat="false" ht="15" hidden="false" customHeight="false" outlineLevel="0" collapsed="false">
      <c r="A29" s="4" t="s">
        <v>45</v>
      </c>
      <c r="B29" s="4" t="s">
        <v>90</v>
      </c>
      <c r="C29" s="4" t="n">
        <v>35796</v>
      </c>
      <c r="D29" s="4" t="n">
        <v>32889</v>
      </c>
      <c r="E29" s="4" t="n">
        <v>0.91879</v>
      </c>
      <c r="F29" s="4" t="n">
        <v>12840495.76</v>
      </c>
      <c r="G29" s="4" t="n">
        <v>1114344.65</v>
      </c>
      <c r="H29" s="4" t="n">
        <v>0.194307</v>
      </c>
    </row>
    <row r="30" customFormat="false" ht="15" hidden="false" customHeight="false" outlineLevel="0" collapsed="false">
      <c r="A30" s="4" t="s">
        <v>45</v>
      </c>
      <c r="B30" s="4" t="s">
        <v>91</v>
      </c>
      <c r="C30" s="4" t="n">
        <v>8538</v>
      </c>
      <c r="D30" s="4" t="n">
        <v>7708</v>
      </c>
      <c r="E30" s="4" t="n">
        <v>0.902788</v>
      </c>
      <c r="F30" s="4" t="n">
        <v>2983385.79</v>
      </c>
      <c r="G30" s="4" t="n">
        <v>305398.43</v>
      </c>
      <c r="H30" s="4" t="n">
        <v>0.046346</v>
      </c>
    </row>
    <row r="31" customFormat="false" ht="15" hidden="false" customHeight="false" outlineLevel="0" collapsed="false">
      <c r="A31" s="4" t="s">
        <v>45</v>
      </c>
      <c r="B31" s="4" t="s">
        <v>92</v>
      </c>
      <c r="C31" s="4" t="n">
        <v>6914</v>
      </c>
      <c r="D31" s="4" t="n">
        <v>6484</v>
      </c>
      <c r="E31" s="4" t="n">
        <v>0.937807</v>
      </c>
      <c r="F31" s="4" t="n">
        <v>2513388.58</v>
      </c>
      <c r="G31" s="4" t="n">
        <v>173840.67</v>
      </c>
      <c r="H31" s="4" t="n">
        <v>0.03753</v>
      </c>
    </row>
    <row r="32" customFormat="false" ht="15" hidden="false" customHeight="false" outlineLevel="0" collapsed="false">
      <c r="A32" s="4" t="s">
        <v>46</v>
      </c>
      <c r="B32" s="4" t="s">
        <v>79</v>
      </c>
      <c r="C32" s="4" t="n">
        <v>5789</v>
      </c>
      <c r="D32" s="4" t="n">
        <v>5366</v>
      </c>
      <c r="E32" s="4" t="n">
        <v>0.92693</v>
      </c>
      <c r="F32" s="4" t="n">
        <v>2206235.97</v>
      </c>
      <c r="G32" s="4" t="n">
        <v>184372.35</v>
      </c>
      <c r="H32" s="4" t="n">
        <v>0.022706</v>
      </c>
    </row>
    <row r="33" customFormat="false" ht="15" hidden="false" customHeight="false" outlineLevel="0" collapsed="false">
      <c r="A33" s="4" t="s">
        <v>46</v>
      </c>
      <c r="B33" s="4" t="s">
        <v>80</v>
      </c>
      <c r="C33" s="4" t="n">
        <v>23671</v>
      </c>
      <c r="D33" s="4" t="n">
        <v>22446</v>
      </c>
      <c r="E33" s="4" t="n">
        <v>0.948249</v>
      </c>
      <c r="F33" s="4" t="n">
        <v>8592444.63</v>
      </c>
      <c r="G33" s="4" t="n">
        <v>501603.21</v>
      </c>
      <c r="H33" s="4" t="n">
        <v>0.092845</v>
      </c>
    </row>
    <row r="34" customFormat="false" ht="15" hidden="false" customHeight="false" outlineLevel="0" collapsed="false">
      <c r="A34" s="4" t="s">
        <v>46</v>
      </c>
      <c r="B34" s="4" t="s">
        <v>81</v>
      </c>
      <c r="C34" s="4" t="n">
        <v>14376</v>
      </c>
      <c r="D34" s="4" t="n">
        <v>13108</v>
      </c>
      <c r="E34" s="4" t="n">
        <v>0.911797</v>
      </c>
      <c r="F34" s="4" t="n">
        <v>5440538.87</v>
      </c>
      <c r="G34" s="4" t="n">
        <v>495288.92</v>
      </c>
      <c r="H34" s="4" t="n">
        <v>0.056387</v>
      </c>
    </row>
    <row r="35" customFormat="false" ht="15" hidden="false" customHeight="false" outlineLevel="0" collapsed="false">
      <c r="A35" s="4" t="s">
        <v>46</v>
      </c>
      <c r="B35" s="4" t="s">
        <v>82</v>
      </c>
      <c r="C35" s="4" t="n">
        <v>13089</v>
      </c>
      <c r="D35" s="4" t="n">
        <v>11857</v>
      </c>
      <c r="E35" s="4" t="n">
        <v>0.905875</v>
      </c>
      <c r="F35" s="4" t="n">
        <v>4793274.12</v>
      </c>
      <c r="G35" s="4" t="n">
        <v>464952.51</v>
      </c>
      <c r="H35" s="4" t="n">
        <v>0.051339</v>
      </c>
    </row>
    <row r="36" customFormat="false" ht="15" hidden="false" customHeight="false" outlineLevel="0" collapsed="false">
      <c r="A36" s="4" t="s">
        <v>46</v>
      </c>
      <c r="B36" s="4" t="s">
        <v>83</v>
      </c>
      <c r="C36" s="4" t="n">
        <v>37763</v>
      </c>
      <c r="D36" s="4" t="n">
        <v>36256</v>
      </c>
      <c r="E36" s="4" t="n">
        <v>0.960093</v>
      </c>
      <c r="F36" s="4" t="n">
        <v>14167731.67</v>
      </c>
      <c r="G36" s="4" t="n">
        <v>685352.68</v>
      </c>
      <c r="H36" s="4" t="n">
        <v>0.148117</v>
      </c>
    </row>
    <row r="37" customFormat="false" ht="15" hidden="false" customHeight="false" outlineLevel="0" collapsed="false">
      <c r="A37" s="4" t="s">
        <v>46</v>
      </c>
      <c r="B37" s="4" t="s">
        <v>84</v>
      </c>
      <c r="C37" s="4" t="n">
        <v>28807</v>
      </c>
      <c r="D37" s="4" t="n">
        <v>27518</v>
      </c>
      <c r="E37" s="4" t="n">
        <v>0.955254</v>
      </c>
      <c r="F37" s="4" t="n">
        <v>10764790.91</v>
      </c>
      <c r="G37" s="4" t="n">
        <v>551186.24</v>
      </c>
      <c r="H37" s="4" t="n">
        <v>0.112989</v>
      </c>
    </row>
    <row r="38" customFormat="false" ht="15" hidden="false" customHeight="false" outlineLevel="0" collapsed="false">
      <c r="A38" s="4" t="s">
        <v>46</v>
      </c>
      <c r="B38" s="4" t="s">
        <v>85</v>
      </c>
      <c r="C38" s="4" t="n">
        <v>7585</v>
      </c>
      <c r="D38" s="4" t="n">
        <v>7195</v>
      </c>
      <c r="E38" s="4" t="n">
        <v>0.948583</v>
      </c>
      <c r="F38" s="4" t="n">
        <v>3116344.6</v>
      </c>
      <c r="G38" s="4" t="n">
        <v>170407.22</v>
      </c>
      <c r="H38" s="4" t="n">
        <v>0.029751</v>
      </c>
    </row>
    <row r="39" customFormat="false" ht="15" hidden="false" customHeight="false" outlineLevel="0" collapsed="false">
      <c r="A39" s="4" t="s">
        <v>46</v>
      </c>
      <c r="B39" s="4" t="s">
        <v>86</v>
      </c>
      <c r="C39" s="4" t="n">
        <v>15205</v>
      </c>
      <c r="D39" s="4" t="n">
        <v>14485</v>
      </c>
      <c r="E39" s="4" t="n">
        <v>0.952647</v>
      </c>
      <c r="F39" s="4" t="n">
        <v>5452926.87</v>
      </c>
      <c r="G39" s="4" t="n">
        <v>282937.63</v>
      </c>
      <c r="H39" s="4" t="n">
        <v>0.059638</v>
      </c>
    </row>
    <row r="40" customFormat="false" ht="15" hidden="false" customHeight="false" outlineLevel="0" collapsed="false">
      <c r="A40" s="4" t="s">
        <v>46</v>
      </c>
      <c r="B40" s="4" t="s">
        <v>87</v>
      </c>
      <c r="C40" s="4" t="n">
        <v>6895</v>
      </c>
      <c r="D40" s="4" t="n">
        <v>6479</v>
      </c>
      <c r="E40" s="4" t="n">
        <v>0.939666</v>
      </c>
      <c r="F40" s="4" t="n">
        <v>2693327.24</v>
      </c>
      <c r="G40" s="4" t="n">
        <v>160939.06</v>
      </c>
      <c r="H40" s="4" t="n">
        <v>0.027044</v>
      </c>
    </row>
    <row r="41" customFormat="false" ht="15" hidden="false" customHeight="false" outlineLevel="0" collapsed="false">
      <c r="A41" s="4" t="s">
        <v>46</v>
      </c>
      <c r="B41" s="4" t="s">
        <v>88</v>
      </c>
      <c r="C41" s="4" t="n">
        <v>19439</v>
      </c>
      <c r="D41" s="4" t="n">
        <v>17577</v>
      </c>
      <c r="E41" s="4" t="n">
        <v>0.904213</v>
      </c>
      <c r="F41" s="4" t="n">
        <v>7164271.4</v>
      </c>
      <c r="G41" s="4" t="n">
        <v>805756.62</v>
      </c>
      <c r="H41" s="4" t="n">
        <v>0.076245</v>
      </c>
    </row>
    <row r="42" customFormat="false" ht="15" hidden="false" customHeight="false" outlineLevel="0" collapsed="false">
      <c r="A42" s="4" t="s">
        <v>46</v>
      </c>
      <c r="B42" s="4" t="s">
        <v>89</v>
      </c>
      <c r="C42" s="4" t="n">
        <v>11920</v>
      </c>
      <c r="D42" s="4" t="n">
        <v>10316</v>
      </c>
      <c r="E42" s="4" t="n">
        <v>0.865436</v>
      </c>
      <c r="F42" s="4" t="n">
        <v>4191969.68</v>
      </c>
      <c r="G42" s="4" t="n">
        <v>587013.55</v>
      </c>
      <c r="H42" s="4" t="n">
        <v>0.046754</v>
      </c>
    </row>
    <row r="43" customFormat="false" ht="15" hidden="false" customHeight="false" outlineLevel="0" collapsed="false">
      <c r="A43" s="4" t="s">
        <v>46</v>
      </c>
      <c r="B43" s="4" t="s">
        <v>90</v>
      </c>
      <c r="C43" s="4" t="n">
        <v>49175</v>
      </c>
      <c r="D43" s="4" t="n">
        <v>45060</v>
      </c>
      <c r="E43" s="4" t="n">
        <v>0.916319</v>
      </c>
      <c r="F43" s="4" t="n">
        <v>17654591.6</v>
      </c>
      <c r="G43" s="4" t="n">
        <v>1536721.93</v>
      </c>
      <c r="H43" s="4" t="n">
        <v>0.192879</v>
      </c>
    </row>
    <row r="44" customFormat="false" ht="15" hidden="false" customHeight="false" outlineLevel="0" collapsed="false">
      <c r="A44" s="4" t="s">
        <v>46</v>
      </c>
      <c r="B44" s="4" t="s">
        <v>91</v>
      </c>
      <c r="C44" s="4" t="n">
        <v>11688</v>
      </c>
      <c r="D44" s="4" t="n">
        <v>10500</v>
      </c>
      <c r="E44" s="4" t="n">
        <v>0.898357</v>
      </c>
      <c r="F44" s="4" t="n">
        <v>4240147.51</v>
      </c>
      <c r="G44" s="4" t="n">
        <v>429922.54</v>
      </c>
      <c r="H44" s="4" t="n">
        <v>0.045844</v>
      </c>
    </row>
    <row r="45" customFormat="false" ht="15" hidden="false" customHeight="false" outlineLevel="0" collapsed="false">
      <c r="A45" s="4" t="s">
        <v>46</v>
      </c>
      <c r="B45" s="4" t="s">
        <v>92</v>
      </c>
      <c r="C45" s="4" t="n">
        <v>9551</v>
      </c>
      <c r="D45" s="4" t="n">
        <v>8967</v>
      </c>
      <c r="E45" s="4" t="n">
        <v>0.938855</v>
      </c>
      <c r="F45" s="4" t="n">
        <v>3622379.26</v>
      </c>
      <c r="G45" s="4" t="n">
        <v>221144.69</v>
      </c>
      <c r="H45" s="4" t="n">
        <v>0.037462</v>
      </c>
    </row>
    <row r="46" customFormat="false" ht="15" hidden="false" customHeight="false" outlineLevel="0" collapsed="false">
      <c r="A46" s="4" t="s">
        <v>47</v>
      </c>
      <c r="B46" s="4" t="s">
        <v>79</v>
      </c>
      <c r="C46" s="4" t="n">
        <v>6326</v>
      </c>
      <c r="D46" s="4" t="n">
        <v>5873</v>
      </c>
      <c r="E46" s="4" t="n">
        <v>0.928391</v>
      </c>
      <c r="F46" s="4" t="n">
        <v>2216638.01</v>
      </c>
      <c r="G46" s="4" t="n">
        <v>173527.15</v>
      </c>
      <c r="H46" s="4" t="n">
        <v>0.023328</v>
      </c>
    </row>
    <row r="47" customFormat="false" ht="15" hidden="false" customHeight="false" outlineLevel="0" collapsed="false">
      <c r="A47" s="4" t="s">
        <v>47</v>
      </c>
      <c r="B47" s="4" t="s">
        <v>80</v>
      </c>
      <c r="C47" s="4" t="n">
        <v>25428</v>
      </c>
      <c r="D47" s="4" t="n">
        <v>24116</v>
      </c>
      <c r="E47" s="4" t="n">
        <v>0.948403</v>
      </c>
      <c r="F47" s="4" t="n">
        <v>9122445.21</v>
      </c>
      <c r="G47" s="4" t="n">
        <v>556605.65</v>
      </c>
      <c r="H47" s="4" t="n">
        <v>0.093771</v>
      </c>
    </row>
    <row r="48" customFormat="false" ht="15" hidden="false" customHeight="false" outlineLevel="0" collapsed="false">
      <c r="A48" s="4" t="s">
        <v>47</v>
      </c>
      <c r="B48" s="4" t="s">
        <v>81</v>
      </c>
      <c r="C48" s="4" t="n">
        <v>15392</v>
      </c>
      <c r="D48" s="4" t="n">
        <v>14019</v>
      </c>
      <c r="E48" s="4" t="n">
        <v>0.910798</v>
      </c>
      <c r="F48" s="4" t="n">
        <v>5632694.91</v>
      </c>
      <c r="G48" s="4" t="n">
        <v>537398.33</v>
      </c>
      <c r="H48" s="4" t="n">
        <v>0.056761</v>
      </c>
    </row>
    <row r="49" customFormat="false" ht="15" hidden="false" customHeight="false" outlineLevel="0" collapsed="false">
      <c r="A49" s="4" t="s">
        <v>47</v>
      </c>
      <c r="B49" s="4" t="s">
        <v>82</v>
      </c>
      <c r="C49" s="4" t="n">
        <v>13423</v>
      </c>
      <c r="D49" s="4" t="n">
        <v>12173</v>
      </c>
      <c r="E49" s="4" t="n">
        <v>0.906876</v>
      </c>
      <c r="F49" s="4" t="n">
        <v>4692921.68</v>
      </c>
      <c r="G49" s="4" t="n">
        <v>425692.91</v>
      </c>
      <c r="H49" s="4" t="n">
        <v>0.0495</v>
      </c>
    </row>
    <row r="50" customFormat="false" ht="15" hidden="false" customHeight="false" outlineLevel="0" collapsed="false">
      <c r="A50" s="4" t="s">
        <v>47</v>
      </c>
      <c r="B50" s="4" t="s">
        <v>83</v>
      </c>
      <c r="C50" s="4" t="n">
        <v>40276</v>
      </c>
      <c r="D50" s="4" t="n">
        <v>38658</v>
      </c>
      <c r="E50" s="4" t="n">
        <v>0.959827</v>
      </c>
      <c r="F50" s="4" t="n">
        <v>14274202</v>
      </c>
      <c r="G50" s="4" t="n">
        <v>661732.45</v>
      </c>
      <c r="H50" s="4" t="n">
        <v>0.148526</v>
      </c>
    </row>
    <row r="51" customFormat="false" ht="15" hidden="false" customHeight="false" outlineLevel="0" collapsed="false">
      <c r="A51" s="4" t="s">
        <v>47</v>
      </c>
      <c r="B51" s="4" t="s">
        <v>84</v>
      </c>
      <c r="C51" s="4" t="n">
        <v>30463</v>
      </c>
      <c r="D51" s="4" t="n">
        <v>29127</v>
      </c>
      <c r="E51" s="4" t="n">
        <v>0.956144</v>
      </c>
      <c r="F51" s="4" t="n">
        <v>10825501.87</v>
      </c>
      <c r="G51" s="4" t="n">
        <v>501473.32</v>
      </c>
      <c r="H51" s="4" t="n">
        <v>0.112339</v>
      </c>
    </row>
    <row r="52" customFormat="false" ht="15" hidden="false" customHeight="false" outlineLevel="0" collapsed="false">
      <c r="A52" s="4" t="s">
        <v>47</v>
      </c>
      <c r="B52" s="4" t="s">
        <v>85</v>
      </c>
      <c r="C52" s="4" t="n">
        <v>8023</v>
      </c>
      <c r="D52" s="4" t="n">
        <v>7566</v>
      </c>
      <c r="E52" s="4" t="n">
        <v>0.943039</v>
      </c>
      <c r="F52" s="4" t="n">
        <v>2927384.09</v>
      </c>
      <c r="G52" s="4" t="n">
        <v>167497.27</v>
      </c>
      <c r="H52" s="4" t="n">
        <v>0.029586</v>
      </c>
    </row>
    <row r="53" customFormat="false" ht="15" hidden="false" customHeight="false" outlineLevel="0" collapsed="false">
      <c r="A53" s="4" t="s">
        <v>47</v>
      </c>
      <c r="B53" s="4" t="s">
        <v>86</v>
      </c>
      <c r="C53" s="4" t="n">
        <v>16274</v>
      </c>
      <c r="D53" s="4" t="n">
        <v>15505</v>
      </c>
      <c r="E53" s="4" t="n">
        <v>0.952747</v>
      </c>
      <c r="F53" s="4" t="n">
        <v>5807664.45</v>
      </c>
      <c r="G53" s="4" t="n">
        <v>346199.69</v>
      </c>
      <c r="H53" s="4" t="n">
        <v>0.060014</v>
      </c>
    </row>
    <row r="54" customFormat="false" ht="15" hidden="false" customHeight="false" outlineLevel="0" collapsed="false">
      <c r="A54" s="4" t="s">
        <v>47</v>
      </c>
      <c r="B54" s="4" t="s">
        <v>87</v>
      </c>
      <c r="C54" s="4" t="n">
        <v>7149</v>
      </c>
      <c r="D54" s="4" t="n">
        <v>6650</v>
      </c>
      <c r="E54" s="4" t="n">
        <v>0.9302</v>
      </c>
      <c r="F54" s="4" t="n">
        <v>2688743.72</v>
      </c>
      <c r="G54" s="4" t="n">
        <v>188155.92</v>
      </c>
      <c r="H54" s="4" t="n">
        <v>0.026363</v>
      </c>
    </row>
    <row r="55" customFormat="false" ht="15" hidden="false" customHeight="false" outlineLevel="0" collapsed="false">
      <c r="A55" s="4" t="s">
        <v>47</v>
      </c>
      <c r="B55" s="4" t="s">
        <v>88</v>
      </c>
      <c r="C55" s="4" t="n">
        <v>21079</v>
      </c>
      <c r="D55" s="4" t="n">
        <v>19040</v>
      </c>
      <c r="E55" s="4" t="n">
        <v>0.903269</v>
      </c>
      <c r="F55" s="4" t="n">
        <v>7663097.2</v>
      </c>
      <c r="G55" s="4" t="n">
        <v>836445.83</v>
      </c>
      <c r="H55" s="4" t="n">
        <v>0.077733</v>
      </c>
    </row>
    <row r="56" customFormat="false" ht="15" hidden="false" customHeight="false" outlineLevel="0" collapsed="false">
      <c r="A56" s="4" t="s">
        <v>47</v>
      </c>
      <c r="B56" s="4" t="s">
        <v>89</v>
      </c>
      <c r="C56" s="4" t="n">
        <v>12584</v>
      </c>
      <c r="D56" s="4" t="n">
        <v>10876</v>
      </c>
      <c r="E56" s="4" t="n">
        <v>0.864272</v>
      </c>
      <c r="F56" s="4" t="n">
        <v>4230650.77</v>
      </c>
      <c r="G56" s="4" t="n">
        <v>572097.85</v>
      </c>
      <c r="H56" s="4" t="n">
        <v>0.046406</v>
      </c>
    </row>
    <row r="57" customFormat="false" ht="15" hidden="false" customHeight="false" outlineLevel="0" collapsed="false">
      <c r="A57" s="4" t="s">
        <v>47</v>
      </c>
      <c r="B57" s="4" t="s">
        <v>90</v>
      </c>
      <c r="C57" s="4" t="n">
        <v>52283</v>
      </c>
      <c r="D57" s="4" t="n">
        <v>47954</v>
      </c>
      <c r="E57" s="4" t="n">
        <v>0.917201</v>
      </c>
      <c r="F57" s="4" t="n">
        <v>18317768.94</v>
      </c>
      <c r="G57" s="4" t="n">
        <v>1644414.91</v>
      </c>
      <c r="H57" s="4" t="n">
        <v>0.192805</v>
      </c>
    </row>
    <row r="58" customFormat="false" ht="15" hidden="false" customHeight="false" outlineLevel="0" collapsed="false">
      <c r="A58" s="4" t="s">
        <v>47</v>
      </c>
      <c r="B58" s="4" t="s">
        <v>91</v>
      </c>
      <c r="C58" s="4" t="n">
        <v>12262</v>
      </c>
      <c r="D58" s="4" t="n">
        <v>11090</v>
      </c>
      <c r="E58" s="4" t="n">
        <v>0.90442</v>
      </c>
      <c r="F58" s="4" t="n">
        <v>4359461.06</v>
      </c>
      <c r="G58" s="4" t="n">
        <v>454159.83</v>
      </c>
      <c r="H58" s="4" t="n">
        <v>0.045219</v>
      </c>
    </row>
    <row r="59" customFormat="false" ht="15" hidden="false" customHeight="false" outlineLevel="0" collapsed="false">
      <c r="A59" s="4" t="s">
        <v>47</v>
      </c>
      <c r="B59" s="4" t="s">
        <v>92</v>
      </c>
      <c r="C59" s="4" t="n">
        <v>10209</v>
      </c>
      <c r="D59" s="4" t="n">
        <v>9579</v>
      </c>
      <c r="E59" s="4" t="n">
        <v>0.93829</v>
      </c>
      <c r="F59" s="4" t="n">
        <v>3905923.68</v>
      </c>
      <c r="G59" s="4" t="n">
        <v>244495.32</v>
      </c>
      <c r="H59" s="4" t="n">
        <v>0.037648</v>
      </c>
    </row>
    <row r="60" customFormat="false" ht="15" hidden="false" customHeight="false" outlineLevel="0" collapsed="false">
      <c r="A60" s="4" t="s">
        <v>48</v>
      </c>
      <c r="B60" s="4" t="s">
        <v>79</v>
      </c>
      <c r="C60" s="4" t="n">
        <v>6185</v>
      </c>
      <c r="D60" s="4" t="n">
        <v>5759</v>
      </c>
      <c r="E60" s="4" t="n">
        <v>0.931124</v>
      </c>
      <c r="F60" s="4" t="n">
        <v>2217639.59</v>
      </c>
      <c r="G60" s="4" t="n">
        <v>159318.81</v>
      </c>
      <c r="H60" s="4" t="n">
        <v>0.022844</v>
      </c>
    </row>
    <row r="61" customFormat="false" ht="15" hidden="false" customHeight="false" outlineLevel="0" collapsed="false">
      <c r="A61" s="4" t="s">
        <v>48</v>
      </c>
      <c r="B61" s="4" t="s">
        <v>80</v>
      </c>
      <c r="C61" s="4" t="n">
        <v>24858</v>
      </c>
      <c r="D61" s="4" t="n">
        <v>23489</v>
      </c>
      <c r="E61" s="4" t="n">
        <v>0.944927</v>
      </c>
      <c r="F61" s="4" t="n">
        <v>8805000.5</v>
      </c>
      <c r="G61" s="4" t="n">
        <v>594765.18</v>
      </c>
      <c r="H61" s="4" t="n">
        <v>0.091813</v>
      </c>
    </row>
    <row r="62" customFormat="false" ht="15" hidden="false" customHeight="false" outlineLevel="0" collapsed="false">
      <c r="A62" s="4" t="s">
        <v>48</v>
      </c>
      <c r="B62" s="4" t="s">
        <v>81</v>
      </c>
      <c r="C62" s="4" t="n">
        <v>15449</v>
      </c>
      <c r="D62" s="4" t="n">
        <v>14070</v>
      </c>
      <c r="E62" s="4" t="n">
        <v>0.910739</v>
      </c>
      <c r="F62" s="4" t="n">
        <v>5913239.59</v>
      </c>
      <c r="G62" s="4" t="n">
        <v>581639.37</v>
      </c>
      <c r="H62" s="4" t="n">
        <v>0.057061</v>
      </c>
    </row>
    <row r="63" customFormat="false" ht="15" hidden="false" customHeight="false" outlineLevel="0" collapsed="false">
      <c r="A63" s="4" t="s">
        <v>48</v>
      </c>
      <c r="B63" s="4" t="s">
        <v>82</v>
      </c>
      <c r="C63" s="4" t="n">
        <v>13503</v>
      </c>
      <c r="D63" s="4" t="n">
        <v>12281</v>
      </c>
      <c r="E63" s="4" t="n">
        <v>0.909502</v>
      </c>
      <c r="F63" s="4" t="n">
        <v>4833778.34</v>
      </c>
      <c r="G63" s="4" t="n">
        <v>506900.28</v>
      </c>
      <c r="H63" s="4" t="n">
        <v>0.049873</v>
      </c>
    </row>
    <row r="64" customFormat="false" ht="15" hidden="false" customHeight="false" outlineLevel="0" collapsed="false">
      <c r="A64" s="4" t="s">
        <v>48</v>
      </c>
      <c r="B64" s="4" t="s">
        <v>83</v>
      </c>
      <c r="C64" s="4" t="n">
        <v>40387</v>
      </c>
      <c r="D64" s="4" t="n">
        <v>38727</v>
      </c>
      <c r="E64" s="4" t="n">
        <v>0.958898</v>
      </c>
      <c r="F64" s="4" t="n">
        <v>14316701.27</v>
      </c>
      <c r="G64" s="4" t="n">
        <v>661494.72</v>
      </c>
      <c r="H64" s="4" t="n">
        <v>0.149169</v>
      </c>
    </row>
    <row r="65" customFormat="false" ht="15" hidden="false" customHeight="false" outlineLevel="0" collapsed="false">
      <c r="A65" s="4" t="s">
        <v>48</v>
      </c>
      <c r="B65" s="4" t="s">
        <v>84</v>
      </c>
      <c r="C65" s="4" t="n">
        <v>30121</v>
      </c>
      <c r="D65" s="4" t="n">
        <v>28800</v>
      </c>
      <c r="E65" s="4" t="n">
        <v>0.956144</v>
      </c>
      <c r="F65" s="4" t="n">
        <v>10606876.26</v>
      </c>
      <c r="G65" s="4" t="n">
        <v>503801.63</v>
      </c>
      <c r="H65" s="4" t="n">
        <v>0.111252</v>
      </c>
    </row>
    <row r="66" customFormat="false" ht="15" hidden="false" customHeight="false" outlineLevel="0" collapsed="false">
      <c r="A66" s="4" t="s">
        <v>48</v>
      </c>
      <c r="B66" s="4" t="s">
        <v>85</v>
      </c>
      <c r="C66" s="4" t="n">
        <v>8093</v>
      </c>
      <c r="D66" s="4" t="n">
        <v>7701</v>
      </c>
      <c r="E66" s="4" t="n">
        <v>0.951563</v>
      </c>
      <c r="F66" s="4" t="n">
        <v>2940599.57</v>
      </c>
      <c r="G66" s="4" t="n">
        <v>150192.95</v>
      </c>
      <c r="H66" s="4" t="n">
        <v>0.029891</v>
      </c>
    </row>
    <row r="67" customFormat="false" ht="15" hidden="false" customHeight="false" outlineLevel="0" collapsed="false">
      <c r="A67" s="4" t="s">
        <v>48</v>
      </c>
      <c r="B67" s="4" t="s">
        <v>86</v>
      </c>
      <c r="C67" s="4" t="n">
        <v>16174</v>
      </c>
      <c r="D67" s="4" t="n">
        <v>15429</v>
      </c>
      <c r="E67" s="4" t="n">
        <v>0.953938</v>
      </c>
      <c r="F67" s="4" t="n">
        <v>5828991.07</v>
      </c>
      <c r="G67" s="4" t="n">
        <v>310436.23</v>
      </c>
      <c r="H67" s="4" t="n">
        <v>0.059739</v>
      </c>
    </row>
    <row r="68" customFormat="false" ht="15" hidden="false" customHeight="false" outlineLevel="0" collapsed="false">
      <c r="A68" s="4" t="s">
        <v>48</v>
      </c>
      <c r="B68" s="4" t="s">
        <v>87</v>
      </c>
      <c r="C68" s="4" t="n">
        <v>7199</v>
      </c>
      <c r="D68" s="4" t="n">
        <v>6746</v>
      </c>
      <c r="E68" s="4" t="n">
        <v>0.937075</v>
      </c>
      <c r="F68" s="4" t="n">
        <v>2648618.39</v>
      </c>
      <c r="G68" s="4" t="n">
        <v>206051.38</v>
      </c>
      <c r="H68" s="4" t="n">
        <v>0.026589</v>
      </c>
    </row>
    <row r="69" customFormat="false" ht="15" hidden="false" customHeight="false" outlineLevel="0" collapsed="false">
      <c r="A69" s="4" t="s">
        <v>48</v>
      </c>
      <c r="B69" s="4" t="s">
        <v>88</v>
      </c>
      <c r="C69" s="4" t="n">
        <v>20653</v>
      </c>
      <c r="D69" s="4" t="n">
        <v>18589</v>
      </c>
      <c r="E69" s="4" t="n">
        <v>0.900063</v>
      </c>
      <c r="F69" s="4" t="n">
        <v>7390933.18</v>
      </c>
      <c r="G69" s="4" t="n">
        <v>847694.7</v>
      </c>
      <c r="H69" s="4" t="n">
        <v>0.076282</v>
      </c>
    </row>
    <row r="70" customFormat="false" ht="15" hidden="false" customHeight="false" outlineLevel="0" collapsed="false">
      <c r="A70" s="4" t="s">
        <v>48</v>
      </c>
      <c r="B70" s="4" t="s">
        <v>89</v>
      </c>
      <c r="C70" s="4" t="n">
        <v>12736</v>
      </c>
      <c r="D70" s="4" t="n">
        <v>11016</v>
      </c>
      <c r="E70" s="4" t="n">
        <v>0.86495</v>
      </c>
      <c r="F70" s="4" t="n">
        <v>4267384.86</v>
      </c>
      <c r="G70" s="4" t="n">
        <v>562342.07</v>
      </c>
      <c r="H70" s="4" t="n">
        <v>0.04704</v>
      </c>
    </row>
    <row r="71" customFormat="false" ht="15" hidden="false" customHeight="false" outlineLevel="0" collapsed="false">
      <c r="A71" s="4" t="s">
        <v>48</v>
      </c>
      <c r="B71" s="4" t="s">
        <v>90</v>
      </c>
      <c r="C71" s="4" t="n">
        <v>52324</v>
      </c>
      <c r="D71" s="4" t="n">
        <v>48006</v>
      </c>
      <c r="E71" s="4" t="n">
        <v>0.917476</v>
      </c>
      <c r="F71" s="4" t="n">
        <v>17972294.02</v>
      </c>
      <c r="G71" s="4" t="n">
        <v>1652221.6</v>
      </c>
      <c r="H71" s="4" t="n">
        <v>0.193259</v>
      </c>
    </row>
    <row r="72" customFormat="false" ht="15" hidden="false" customHeight="false" outlineLevel="0" collapsed="false">
      <c r="A72" s="4" t="s">
        <v>48</v>
      </c>
      <c r="B72" s="4" t="s">
        <v>91</v>
      </c>
      <c r="C72" s="4" t="n">
        <v>12576</v>
      </c>
      <c r="D72" s="4" t="n">
        <v>11389</v>
      </c>
      <c r="E72" s="4" t="n">
        <v>0.905614</v>
      </c>
      <c r="F72" s="4" t="n">
        <v>4317862.9</v>
      </c>
      <c r="G72" s="4" t="n">
        <v>403161.9</v>
      </c>
      <c r="H72" s="4" t="n">
        <v>0.046449</v>
      </c>
    </row>
    <row r="73" customFormat="false" ht="15" hidden="false" customHeight="false" outlineLevel="0" collapsed="false">
      <c r="A73" s="4" t="s">
        <v>48</v>
      </c>
      <c r="B73" s="4" t="s">
        <v>92</v>
      </c>
      <c r="C73" s="4" t="n">
        <v>10488</v>
      </c>
      <c r="D73" s="4" t="n">
        <v>9834</v>
      </c>
      <c r="E73" s="4" t="n">
        <v>0.937643</v>
      </c>
      <c r="F73" s="4" t="n">
        <v>3757552.69</v>
      </c>
      <c r="G73" s="4" t="n">
        <v>233706.41</v>
      </c>
      <c r="H73" s="4" t="n">
        <v>0.038737</v>
      </c>
    </row>
    <row r="74" customFormat="false" ht="15" hidden="false" customHeight="false" outlineLevel="0" collapsed="false">
      <c r="A74" s="4" t="s">
        <v>49</v>
      </c>
      <c r="B74" s="4" t="s">
        <v>79</v>
      </c>
      <c r="C74" s="4" t="n">
        <v>5757</v>
      </c>
      <c r="D74" s="4" t="n">
        <v>5322</v>
      </c>
      <c r="E74" s="4" t="n">
        <v>0.92444</v>
      </c>
      <c r="F74" s="4" t="n">
        <v>1992615.96</v>
      </c>
      <c r="G74" s="4" t="n">
        <v>137602.65</v>
      </c>
      <c r="H74" s="4" t="n">
        <v>0.022804</v>
      </c>
    </row>
    <row r="75" customFormat="false" ht="15" hidden="false" customHeight="false" outlineLevel="0" collapsed="false">
      <c r="A75" s="4" t="s">
        <v>49</v>
      </c>
      <c r="B75" s="4" t="s">
        <v>80</v>
      </c>
      <c r="C75" s="4" t="n">
        <v>23059</v>
      </c>
      <c r="D75" s="4" t="n">
        <v>21828</v>
      </c>
      <c r="E75" s="4" t="n">
        <v>0.946615</v>
      </c>
      <c r="F75" s="4" t="n">
        <v>8035823.86</v>
      </c>
      <c r="G75" s="4" t="n">
        <v>468354.57</v>
      </c>
      <c r="H75" s="4" t="n">
        <v>0.09134</v>
      </c>
    </row>
    <row r="76" customFormat="false" ht="15" hidden="false" customHeight="false" outlineLevel="0" collapsed="false">
      <c r="A76" s="4" t="s">
        <v>49</v>
      </c>
      <c r="B76" s="4" t="s">
        <v>81</v>
      </c>
      <c r="C76" s="4" t="n">
        <v>14289</v>
      </c>
      <c r="D76" s="4" t="n">
        <v>12994</v>
      </c>
      <c r="E76" s="4" t="n">
        <v>0.909371</v>
      </c>
      <c r="F76" s="4" t="n">
        <v>5397707.2</v>
      </c>
      <c r="G76" s="4" t="n">
        <v>561068.62</v>
      </c>
      <c r="H76" s="4" t="n">
        <v>0.056601</v>
      </c>
    </row>
    <row r="77" customFormat="false" ht="15" hidden="false" customHeight="false" outlineLevel="0" collapsed="false">
      <c r="A77" s="4" t="s">
        <v>49</v>
      </c>
      <c r="B77" s="4" t="s">
        <v>82</v>
      </c>
      <c r="C77" s="4" t="n">
        <v>12695</v>
      </c>
      <c r="D77" s="4" t="n">
        <v>11506</v>
      </c>
      <c r="E77" s="4" t="n">
        <v>0.906341</v>
      </c>
      <c r="F77" s="4" t="n">
        <v>4581725</v>
      </c>
      <c r="G77" s="4" t="n">
        <v>445132.39</v>
      </c>
      <c r="H77" s="4" t="n">
        <v>0.050287</v>
      </c>
    </row>
    <row r="78" customFormat="false" ht="15" hidden="false" customHeight="false" outlineLevel="0" collapsed="false">
      <c r="A78" s="4" t="s">
        <v>49</v>
      </c>
      <c r="B78" s="4" t="s">
        <v>83</v>
      </c>
      <c r="C78" s="4" t="n">
        <v>37480</v>
      </c>
      <c r="D78" s="4" t="n">
        <v>35878</v>
      </c>
      <c r="E78" s="4" t="n">
        <v>0.957257</v>
      </c>
      <c r="F78" s="4" t="n">
        <v>13292326.4</v>
      </c>
      <c r="G78" s="4" t="n">
        <v>690884.37</v>
      </c>
      <c r="H78" s="4" t="n">
        <v>0.148464</v>
      </c>
    </row>
    <row r="79" customFormat="false" ht="15" hidden="false" customHeight="false" outlineLevel="0" collapsed="false">
      <c r="A79" s="4" t="s">
        <v>49</v>
      </c>
      <c r="B79" s="4" t="s">
        <v>84</v>
      </c>
      <c r="C79" s="4" t="n">
        <v>28556</v>
      </c>
      <c r="D79" s="4" t="n">
        <v>27300</v>
      </c>
      <c r="E79" s="4" t="n">
        <v>0.956016</v>
      </c>
      <c r="F79" s="4" t="n">
        <v>10061224.28</v>
      </c>
      <c r="G79" s="4" t="n">
        <v>513522.77</v>
      </c>
      <c r="H79" s="4" t="n">
        <v>0.113115</v>
      </c>
    </row>
    <row r="80" customFormat="false" ht="15" hidden="false" customHeight="false" outlineLevel="0" collapsed="false">
      <c r="A80" s="4" t="s">
        <v>49</v>
      </c>
      <c r="B80" s="4" t="s">
        <v>85</v>
      </c>
      <c r="C80" s="4" t="n">
        <v>7711</v>
      </c>
      <c r="D80" s="4" t="n">
        <v>7320</v>
      </c>
      <c r="E80" s="4" t="n">
        <v>0.949293</v>
      </c>
      <c r="F80" s="4" t="n">
        <v>2682364.73</v>
      </c>
      <c r="G80" s="4" t="n">
        <v>159818.81</v>
      </c>
      <c r="H80" s="4" t="n">
        <v>0.030545</v>
      </c>
    </row>
    <row r="81" customFormat="false" ht="15" hidden="false" customHeight="false" outlineLevel="0" collapsed="false">
      <c r="A81" s="4" t="s">
        <v>49</v>
      </c>
      <c r="B81" s="4" t="s">
        <v>86</v>
      </c>
      <c r="C81" s="4" t="n">
        <v>15138</v>
      </c>
      <c r="D81" s="4" t="n">
        <v>14387</v>
      </c>
      <c r="E81" s="4" t="n">
        <v>0.95039</v>
      </c>
      <c r="F81" s="4" t="n">
        <v>5301656.63</v>
      </c>
      <c r="G81" s="4" t="n">
        <v>280779.09</v>
      </c>
      <c r="H81" s="4" t="n">
        <v>0.059964</v>
      </c>
    </row>
    <row r="82" customFormat="false" ht="15" hidden="false" customHeight="false" outlineLevel="0" collapsed="false">
      <c r="A82" s="4" t="s">
        <v>49</v>
      </c>
      <c r="B82" s="4" t="s">
        <v>87</v>
      </c>
      <c r="C82" s="4" t="n">
        <v>6938</v>
      </c>
      <c r="D82" s="4" t="n">
        <v>6483</v>
      </c>
      <c r="E82" s="4" t="n">
        <v>0.934419</v>
      </c>
      <c r="F82" s="4" t="n">
        <v>2585344.93</v>
      </c>
      <c r="G82" s="4" t="n">
        <v>175152.63</v>
      </c>
      <c r="H82" s="4" t="n">
        <v>0.027483</v>
      </c>
    </row>
    <row r="83" customFormat="false" ht="15" hidden="false" customHeight="false" outlineLevel="0" collapsed="false">
      <c r="A83" s="4" t="s">
        <v>49</v>
      </c>
      <c r="B83" s="4" t="s">
        <v>88</v>
      </c>
      <c r="C83" s="4" t="n">
        <v>19423</v>
      </c>
      <c r="D83" s="4" t="n">
        <v>17644</v>
      </c>
      <c r="E83" s="4" t="n">
        <v>0.908408</v>
      </c>
      <c r="F83" s="4" t="n">
        <v>6909403.01</v>
      </c>
      <c r="G83" s="4" t="n">
        <v>640080.17</v>
      </c>
      <c r="H83" s="4" t="n">
        <v>0.076938</v>
      </c>
    </row>
    <row r="84" customFormat="false" ht="15" hidden="false" customHeight="false" outlineLevel="0" collapsed="false">
      <c r="A84" s="4" t="s">
        <v>49</v>
      </c>
      <c r="B84" s="4" t="s">
        <v>89</v>
      </c>
      <c r="C84" s="4" t="n">
        <v>11778</v>
      </c>
      <c r="D84" s="4" t="n">
        <v>10255</v>
      </c>
      <c r="E84" s="4" t="n">
        <v>0.870691</v>
      </c>
      <c r="F84" s="4" t="n">
        <v>3859597.37</v>
      </c>
      <c r="G84" s="4" t="n">
        <v>507690.49</v>
      </c>
      <c r="H84" s="4" t="n">
        <v>0.046655</v>
      </c>
    </row>
    <row r="85" customFormat="false" ht="15" hidden="false" customHeight="false" outlineLevel="0" collapsed="false">
      <c r="A85" s="4" t="s">
        <v>49</v>
      </c>
      <c r="B85" s="4" t="s">
        <v>90</v>
      </c>
      <c r="C85" s="4" t="n">
        <v>48529</v>
      </c>
      <c r="D85" s="4" t="n">
        <v>44625</v>
      </c>
      <c r="E85" s="4" t="n">
        <v>0.919553</v>
      </c>
      <c r="F85" s="4" t="n">
        <v>16482055.48</v>
      </c>
      <c r="G85" s="4" t="n">
        <v>1441088.09</v>
      </c>
      <c r="H85" s="4" t="n">
        <v>0.192231</v>
      </c>
    </row>
    <row r="86" customFormat="false" ht="15" hidden="false" customHeight="false" outlineLevel="0" collapsed="false">
      <c r="A86" s="4" t="s">
        <v>49</v>
      </c>
      <c r="B86" s="4" t="s">
        <v>91</v>
      </c>
      <c r="C86" s="4" t="n">
        <v>11600</v>
      </c>
      <c r="D86" s="4" t="n">
        <v>10381</v>
      </c>
      <c r="E86" s="4" t="n">
        <v>0.894914</v>
      </c>
      <c r="F86" s="4" t="n">
        <v>3936030.49</v>
      </c>
      <c r="G86" s="4" t="n">
        <v>438143.13</v>
      </c>
      <c r="H86" s="4" t="n">
        <v>0.04595</v>
      </c>
    </row>
    <row r="87" customFormat="false" ht="15" hidden="false" customHeight="false" outlineLevel="0" collapsed="false">
      <c r="A87" s="4" t="s">
        <v>49</v>
      </c>
      <c r="B87" s="4" t="s">
        <v>92</v>
      </c>
      <c r="C87" s="4" t="n">
        <v>9498</v>
      </c>
      <c r="D87" s="4" t="n">
        <v>8927</v>
      </c>
      <c r="E87" s="4" t="n">
        <v>0.939882</v>
      </c>
      <c r="F87" s="4" t="n">
        <v>3398855.24</v>
      </c>
      <c r="G87" s="4" t="n">
        <v>216076.7</v>
      </c>
      <c r="H87" s="4" t="n">
        <v>0.037623</v>
      </c>
    </row>
    <row r="88" customFormat="false" ht="15" hidden="false" customHeight="false" outlineLevel="0" collapsed="false">
      <c r="A88" s="4" t="s">
        <v>50</v>
      </c>
      <c r="B88" s="4" t="s">
        <v>79</v>
      </c>
      <c r="C88" s="4" t="n">
        <v>5889</v>
      </c>
      <c r="D88" s="4" t="n">
        <v>5442</v>
      </c>
      <c r="E88" s="4" t="n">
        <v>0.924096</v>
      </c>
      <c r="F88" s="4" t="n">
        <v>2066942.13</v>
      </c>
      <c r="G88" s="4" t="n">
        <v>183492.18</v>
      </c>
      <c r="H88" s="4" t="n">
        <v>0.023202</v>
      </c>
    </row>
    <row r="89" customFormat="false" ht="15" hidden="false" customHeight="false" outlineLevel="0" collapsed="false">
      <c r="A89" s="4" t="s">
        <v>50</v>
      </c>
      <c r="B89" s="4" t="s">
        <v>80</v>
      </c>
      <c r="C89" s="4" t="n">
        <v>23753</v>
      </c>
      <c r="D89" s="4" t="n">
        <v>22473</v>
      </c>
      <c r="E89" s="4" t="n">
        <v>0.946112</v>
      </c>
      <c r="F89" s="4" t="n">
        <v>8341344.66</v>
      </c>
      <c r="G89" s="4" t="n">
        <v>533782.52</v>
      </c>
      <c r="H89" s="4" t="n">
        <v>0.093585</v>
      </c>
    </row>
    <row r="90" customFormat="false" ht="15" hidden="false" customHeight="false" outlineLevel="0" collapsed="false">
      <c r="A90" s="4" t="s">
        <v>50</v>
      </c>
      <c r="B90" s="4" t="s">
        <v>81</v>
      </c>
      <c r="C90" s="4" t="n">
        <v>14398</v>
      </c>
      <c r="D90" s="4" t="n">
        <v>13102</v>
      </c>
      <c r="E90" s="4" t="n">
        <v>0.909987</v>
      </c>
      <c r="F90" s="4" t="n">
        <v>5139748.5</v>
      </c>
      <c r="G90" s="4" t="n">
        <v>465495.65</v>
      </c>
      <c r="H90" s="4" t="n">
        <v>0.056727</v>
      </c>
    </row>
    <row r="91" customFormat="false" ht="15" hidden="false" customHeight="false" outlineLevel="0" collapsed="false">
      <c r="A91" s="4" t="s">
        <v>50</v>
      </c>
      <c r="B91" s="4" t="s">
        <v>82</v>
      </c>
      <c r="C91" s="4" t="n">
        <v>12782</v>
      </c>
      <c r="D91" s="4" t="n">
        <v>11606</v>
      </c>
      <c r="E91" s="4" t="n">
        <v>0.907996</v>
      </c>
      <c r="F91" s="4" t="n">
        <v>4577363.62</v>
      </c>
      <c r="G91" s="4" t="n">
        <v>431720.05</v>
      </c>
      <c r="H91" s="4" t="n">
        <v>0.05036</v>
      </c>
    </row>
    <row r="92" customFormat="false" ht="15" hidden="false" customHeight="false" outlineLevel="0" collapsed="false">
      <c r="A92" s="4" t="s">
        <v>50</v>
      </c>
      <c r="B92" s="4" t="s">
        <v>83</v>
      </c>
      <c r="C92" s="4" t="n">
        <v>37924</v>
      </c>
      <c r="D92" s="4" t="n">
        <v>36357</v>
      </c>
      <c r="E92" s="4" t="n">
        <v>0.958681</v>
      </c>
      <c r="F92" s="4" t="n">
        <v>13371907.99</v>
      </c>
      <c r="G92" s="4" t="n">
        <v>657253.81</v>
      </c>
      <c r="H92" s="4" t="n">
        <v>0.149418</v>
      </c>
    </row>
    <row r="93" customFormat="false" ht="15" hidden="false" customHeight="false" outlineLevel="0" collapsed="false">
      <c r="A93" s="4" t="s">
        <v>50</v>
      </c>
      <c r="B93" s="4" t="s">
        <v>84</v>
      </c>
      <c r="C93" s="4" t="n">
        <v>28416</v>
      </c>
      <c r="D93" s="4" t="n">
        <v>27097</v>
      </c>
      <c r="E93" s="4" t="n">
        <v>0.953582</v>
      </c>
      <c r="F93" s="4" t="n">
        <v>10070478.15</v>
      </c>
      <c r="G93" s="4" t="n">
        <v>513142.65</v>
      </c>
      <c r="H93" s="4" t="n">
        <v>0.111957</v>
      </c>
    </row>
    <row r="94" customFormat="false" ht="15" hidden="false" customHeight="false" outlineLevel="0" collapsed="false">
      <c r="A94" s="4" t="s">
        <v>50</v>
      </c>
      <c r="B94" s="4" t="s">
        <v>85</v>
      </c>
      <c r="C94" s="4" t="n">
        <v>7641</v>
      </c>
      <c r="D94" s="4" t="n">
        <v>7276</v>
      </c>
      <c r="E94" s="4" t="n">
        <v>0.952231</v>
      </c>
      <c r="F94" s="4" t="n">
        <v>2635954.77</v>
      </c>
      <c r="G94" s="4" t="n">
        <v>148056.53</v>
      </c>
      <c r="H94" s="4" t="n">
        <v>0.030105</v>
      </c>
    </row>
    <row r="95" customFormat="false" ht="15" hidden="false" customHeight="false" outlineLevel="0" collapsed="false">
      <c r="A95" s="4" t="s">
        <v>50</v>
      </c>
      <c r="B95" s="4" t="s">
        <v>86</v>
      </c>
      <c r="C95" s="4" t="n">
        <v>15182</v>
      </c>
      <c r="D95" s="4" t="n">
        <v>14450</v>
      </c>
      <c r="E95" s="4" t="n">
        <v>0.951785</v>
      </c>
      <c r="F95" s="4" t="n">
        <v>5280146.65</v>
      </c>
      <c r="G95" s="4" t="n">
        <v>256309.16</v>
      </c>
      <c r="H95" s="4" t="n">
        <v>0.059816</v>
      </c>
    </row>
    <row r="96" customFormat="false" ht="15" hidden="false" customHeight="false" outlineLevel="0" collapsed="false">
      <c r="A96" s="4" t="s">
        <v>50</v>
      </c>
      <c r="B96" s="4" t="s">
        <v>87</v>
      </c>
      <c r="C96" s="4" t="n">
        <v>6732</v>
      </c>
      <c r="D96" s="4" t="n">
        <v>6295</v>
      </c>
      <c r="E96" s="4" t="n">
        <v>0.935086</v>
      </c>
      <c r="F96" s="4" t="n">
        <v>2623523.98</v>
      </c>
      <c r="G96" s="4" t="n">
        <v>175294.41</v>
      </c>
      <c r="H96" s="4" t="n">
        <v>0.026524</v>
      </c>
    </row>
    <row r="97" customFormat="false" ht="15" hidden="false" customHeight="false" outlineLevel="0" collapsed="false">
      <c r="A97" s="4" t="s">
        <v>50</v>
      </c>
      <c r="B97" s="4" t="s">
        <v>88</v>
      </c>
      <c r="C97" s="4" t="n">
        <v>19514</v>
      </c>
      <c r="D97" s="4" t="n">
        <v>17650</v>
      </c>
      <c r="E97" s="4" t="n">
        <v>0.904479</v>
      </c>
      <c r="F97" s="4" t="n">
        <v>6911710.14</v>
      </c>
      <c r="G97" s="4" t="n">
        <v>682904.16</v>
      </c>
      <c r="H97" s="4" t="n">
        <v>0.076884</v>
      </c>
    </row>
    <row r="98" customFormat="false" ht="15" hidden="false" customHeight="false" outlineLevel="0" collapsed="false">
      <c r="A98" s="4" t="s">
        <v>50</v>
      </c>
      <c r="B98" s="4" t="s">
        <v>89</v>
      </c>
      <c r="C98" s="4" t="n">
        <v>11852</v>
      </c>
      <c r="D98" s="4" t="n">
        <v>10279</v>
      </c>
      <c r="E98" s="4" t="n">
        <v>0.86728</v>
      </c>
      <c r="F98" s="4" t="n">
        <v>3969801.13</v>
      </c>
      <c r="G98" s="4" t="n">
        <v>561405.9</v>
      </c>
      <c r="H98" s="4" t="n">
        <v>0.046696</v>
      </c>
    </row>
    <row r="99" customFormat="false" ht="15" hidden="false" customHeight="false" outlineLevel="0" collapsed="false">
      <c r="A99" s="4" t="s">
        <v>50</v>
      </c>
      <c r="B99" s="4" t="s">
        <v>90</v>
      </c>
      <c r="C99" s="4" t="n">
        <v>48624</v>
      </c>
      <c r="D99" s="4" t="n">
        <v>44643</v>
      </c>
      <c r="E99" s="4" t="n">
        <v>0.918127</v>
      </c>
      <c r="F99" s="4" t="n">
        <v>16607136.31</v>
      </c>
      <c r="G99" s="4" t="n">
        <v>1498767.06</v>
      </c>
      <c r="H99" s="4" t="n">
        <v>0.191575</v>
      </c>
    </row>
    <row r="100" customFormat="false" ht="15" hidden="false" customHeight="false" outlineLevel="0" collapsed="false">
      <c r="A100" s="4" t="s">
        <v>50</v>
      </c>
      <c r="B100" s="4" t="s">
        <v>91</v>
      </c>
      <c r="C100" s="4" t="n">
        <v>11677</v>
      </c>
      <c r="D100" s="4" t="n">
        <v>10567</v>
      </c>
      <c r="E100" s="4" t="n">
        <v>0.904941</v>
      </c>
      <c r="F100" s="4" t="n">
        <v>4032331.65</v>
      </c>
      <c r="G100" s="4" t="n">
        <v>389013.55</v>
      </c>
      <c r="H100" s="4" t="n">
        <v>0.046006</v>
      </c>
    </row>
    <row r="101" customFormat="false" ht="15" hidden="false" customHeight="false" outlineLevel="0" collapsed="false">
      <c r="A101" s="4" t="s">
        <v>50</v>
      </c>
      <c r="B101" s="4" t="s">
        <v>92</v>
      </c>
      <c r="C101" s="4" t="n">
        <v>9428</v>
      </c>
      <c r="D101" s="4" t="n">
        <v>8902</v>
      </c>
      <c r="E101" s="4" t="n">
        <v>0.944209</v>
      </c>
      <c r="F101" s="4" t="n">
        <v>3327802.53</v>
      </c>
      <c r="G101" s="4" t="n">
        <v>186116.28</v>
      </c>
      <c r="H101" s="4" t="n">
        <v>0.037146</v>
      </c>
    </row>
    <row r="102" customFormat="false" ht="15" hidden="false" customHeight="false" outlineLevel="0" collapsed="false">
      <c r="A102" s="4" t="s">
        <v>51</v>
      </c>
      <c r="B102" s="4" t="s">
        <v>79</v>
      </c>
      <c r="C102" s="4" t="n">
        <v>6580</v>
      </c>
      <c r="D102" s="4" t="n">
        <v>6119</v>
      </c>
      <c r="E102" s="4" t="n">
        <v>0.929939</v>
      </c>
      <c r="F102" s="4" t="n">
        <v>2326257.74</v>
      </c>
      <c r="G102" s="4" t="n">
        <v>185896.92</v>
      </c>
      <c r="H102" s="4" t="n">
        <v>0.02216</v>
      </c>
    </row>
    <row r="103" customFormat="false" ht="15" hidden="false" customHeight="false" outlineLevel="0" collapsed="false">
      <c r="A103" s="4" t="s">
        <v>51</v>
      </c>
      <c r="B103" s="4" t="s">
        <v>80</v>
      </c>
      <c r="C103" s="4" t="n">
        <v>27480</v>
      </c>
      <c r="D103" s="4" t="n">
        <v>25994</v>
      </c>
      <c r="E103" s="4" t="n">
        <v>0.945924</v>
      </c>
      <c r="F103" s="4" t="n">
        <v>9654631.53</v>
      </c>
      <c r="G103" s="4" t="n">
        <v>560422.09</v>
      </c>
      <c r="H103" s="4" t="n">
        <v>0.092547</v>
      </c>
    </row>
    <row r="104" customFormat="false" ht="15" hidden="false" customHeight="false" outlineLevel="0" collapsed="false">
      <c r="A104" s="4" t="s">
        <v>51</v>
      </c>
      <c r="B104" s="4" t="s">
        <v>81</v>
      </c>
      <c r="C104" s="4" t="n">
        <v>17161</v>
      </c>
      <c r="D104" s="4" t="n">
        <v>15572</v>
      </c>
      <c r="E104" s="4" t="n">
        <v>0.907406</v>
      </c>
      <c r="F104" s="4" t="n">
        <v>6293612.67</v>
      </c>
      <c r="G104" s="4" t="n">
        <v>630329.6</v>
      </c>
      <c r="H104" s="4" t="n">
        <v>0.057795</v>
      </c>
    </row>
    <row r="105" customFormat="false" ht="15" hidden="false" customHeight="false" outlineLevel="0" collapsed="false">
      <c r="A105" s="4" t="s">
        <v>51</v>
      </c>
      <c r="B105" s="4" t="s">
        <v>82</v>
      </c>
      <c r="C105" s="4" t="n">
        <v>14569</v>
      </c>
      <c r="D105" s="4" t="n">
        <v>13195</v>
      </c>
      <c r="E105" s="4" t="n">
        <v>0.90569</v>
      </c>
      <c r="F105" s="4" t="n">
        <v>5075973.38</v>
      </c>
      <c r="G105" s="4" t="n">
        <v>501937.12</v>
      </c>
      <c r="H105" s="4" t="n">
        <v>0.049065</v>
      </c>
    </row>
    <row r="106" customFormat="false" ht="15" hidden="false" customHeight="false" outlineLevel="0" collapsed="false">
      <c r="A106" s="4" t="s">
        <v>51</v>
      </c>
      <c r="B106" s="4" t="s">
        <v>83</v>
      </c>
      <c r="C106" s="4" t="n">
        <v>44663</v>
      </c>
      <c r="D106" s="4" t="n">
        <v>42806</v>
      </c>
      <c r="E106" s="4" t="n">
        <v>0.958422</v>
      </c>
      <c r="F106" s="4" t="n">
        <v>15904430.34</v>
      </c>
      <c r="G106" s="4" t="n">
        <v>754593.94</v>
      </c>
      <c r="H106" s="4" t="n">
        <v>0.150416</v>
      </c>
    </row>
    <row r="107" customFormat="false" ht="15" hidden="false" customHeight="false" outlineLevel="0" collapsed="false">
      <c r="A107" s="4" t="s">
        <v>51</v>
      </c>
      <c r="B107" s="4" t="s">
        <v>84</v>
      </c>
      <c r="C107" s="4" t="n">
        <v>33922</v>
      </c>
      <c r="D107" s="4" t="n">
        <v>32425</v>
      </c>
      <c r="E107" s="4" t="n">
        <v>0.955869</v>
      </c>
      <c r="F107" s="4" t="n">
        <v>11897249.29</v>
      </c>
      <c r="G107" s="4" t="n">
        <v>572494.35</v>
      </c>
      <c r="H107" s="4" t="n">
        <v>0.114242</v>
      </c>
    </row>
    <row r="108" customFormat="false" ht="15" hidden="false" customHeight="false" outlineLevel="0" collapsed="false">
      <c r="A108" s="4" t="s">
        <v>51</v>
      </c>
      <c r="B108" s="4" t="s">
        <v>85</v>
      </c>
      <c r="C108" s="4" t="n">
        <v>8834</v>
      </c>
      <c r="D108" s="4" t="n">
        <v>8368</v>
      </c>
      <c r="E108" s="4" t="n">
        <v>0.947249</v>
      </c>
      <c r="F108" s="4" t="n">
        <v>3194841.03</v>
      </c>
      <c r="G108" s="4" t="n">
        <v>192687.5</v>
      </c>
      <c r="H108" s="4" t="n">
        <v>0.029751</v>
      </c>
    </row>
    <row r="109" customFormat="false" ht="15" hidden="false" customHeight="false" outlineLevel="0" collapsed="false">
      <c r="A109" s="4" t="s">
        <v>51</v>
      </c>
      <c r="B109" s="4" t="s">
        <v>86</v>
      </c>
      <c r="C109" s="4" t="n">
        <v>17662</v>
      </c>
      <c r="D109" s="4" t="n">
        <v>16832</v>
      </c>
      <c r="E109" s="4" t="n">
        <v>0.953006</v>
      </c>
      <c r="F109" s="4" t="n">
        <v>6166288.79</v>
      </c>
      <c r="G109" s="4" t="n">
        <v>319574.16</v>
      </c>
      <c r="H109" s="4" t="n">
        <v>0.059482</v>
      </c>
    </row>
    <row r="110" customFormat="false" ht="15" hidden="false" customHeight="false" outlineLevel="0" collapsed="false">
      <c r="A110" s="4" t="s">
        <v>51</v>
      </c>
      <c r="B110" s="4" t="s">
        <v>87</v>
      </c>
      <c r="C110" s="4" t="n">
        <v>7837</v>
      </c>
      <c r="D110" s="4" t="n">
        <v>7337</v>
      </c>
      <c r="E110" s="4" t="n">
        <v>0.9362</v>
      </c>
      <c r="F110" s="4" t="n">
        <v>2763321.17</v>
      </c>
      <c r="G110" s="4" t="n">
        <v>178087.53</v>
      </c>
      <c r="H110" s="4" t="n">
        <v>0.026393</v>
      </c>
    </row>
    <row r="111" customFormat="false" ht="15" hidden="false" customHeight="false" outlineLevel="0" collapsed="false">
      <c r="A111" s="4" t="s">
        <v>51</v>
      </c>
      <c r="B111" s="4" t="s">
        <v>88</v>
      </c>
      <c r="C111" s="4" t="n">
        <v>23007</v>
      </c>
      <c r="D111" s="4" t="n">
        <v>20786</v>
      </c>
      <c r="E111" s="4" t="n">
        <v>0.903464</v>
      </c>
      <c r="F111" s="4" t="n">
        <v>8259623.63</v>
      </c>
      <c r="G111" s="4" t="n">
        <v>811812.51</v>
      </c>
      <c r="H111" s="4" t="n">
        <v>0.077483</v>
      </c>
    </row>
    <row r="112" customFormat="false" ht="15" hidden="false" customHeight="false" outlineLevel="0" collapsed="false">
      <c r="A112" s="4" t="s">
        <v>51</v>
      </c>
      <c r="B112" s="4" t="s">
        <v>89</v>
      </c>
      <c r="C112" s="4" t="n">
        <v>13657</v>
      </c>
      <c r="D112" s="4" t="n">
        <v>11735</v>
      </c>
      <c r="E112" s="4" t="n">
        <v>0.859266</v>
      </c>
      <c r="F112" s="4" t="n">
        <v>4466911.31</v>
      </c>
      <c r="G112" s="4" t="n">
        <v>691069.26</v>
      </c>
      <c r="H112" s="4" t="n">
        <v>0.045994</v>
      </c>
    </row>
    <row r="113" customFormat="false" ht="15" hidden="false" customHeight="false" outlineLevel="0" collapsed="false">
      <c r="A113" s="4" t="s">
        <v>51</v>
      </c>
      <c r="B113" s="4" t="s">
        <v>90</v>
      </c>
      <c r="C113" s="4" t="n">
        <v>57079</v>
      </c>
      <c r="D113" s="4" t="n">
        <v>52316</v>
      </c>
      <c r="E113" s="4" t="n">
        <v>0.916554</v>
      </c>
      <c r="F113" s="4" t="n">
        <v>19597464.2</v>
      </c>
      <c r="G113" s="4" t="n">
        <v>1731902.04</v>
      </c>
      <c r="H113" s="4" t="n">
        <v>0.19223</v>
      </c>
    </row>
    <row r="114" customFormat="false" ht="15" hidden="false" customHeight="false" outlineLevel="0" collapsed="false">
      <c r="A114" s="4" t="s">
        <v>51</v>
      </c>
      <c r="B114" s="4" t="s">
        <v>91</v>
      </c>
      <c r="C114" s="4" t="n">
        <v>13418</v>
      </c>
      <c r="D114" s="4" t="n">
        <v>12092</v>
      </c>
      <c r="E114" s="4" t="n">
        <v>0.901178</v>
      </c>
      <c r="F114" s="4" t="n">
        <v>4640246.94</v>
      </c>
      <c r="G114" s="4" t="n">
        <v>497203.94</v>
      </c>
      <c r="H114" s="4" t="n">
        <v>0.045189</v>
      </c>
    </row>
    <row r="115" customFormat="false" ht="15" hidden="false" customHeight="false" outlineLevel="0" collapsed="false">
      <c r="A115" s="4" t="s">
        <v>51</v>
      </c>
      <c r="B115" s="4" t="s">
        <v>92</v>
      </c>
      <c r="C115" s="4" t="n">
        <v>11061</v>
      </c>
      <c r="D115" s="4" t="n">
        <v>10409</v>
      </c>
      <c r="E115" s="4" t="n">
        <v>0.941054</v>
      </c>
      <c r="F115" s="4" t="n">
        <v>3837548.59</v>
      </c>
      <c r="G115" s="4" t="n">
        <v>243114.2</v>
      </c>
      <c r="H115" s="4" t="n">
        <v>0.037251</v>
      </c>
    </row>
    <row r="116" customFormat="false" ht="15" hidden="false" customHeight="false" outlineLevel="0" collapsed="false">
      <c r="A116" s="4" t="s">
        <v>52</v>
      </c>
      <c r="B116" s="4" t="s">
        <v>79</v>
      </c>
      <c r="C116" s="4" t="n">
        <v>6676</v>
      </c>
      <c r="D116" s="4" t="n">
        <v>6232</v>
      </c>
      <c r="E116" s="4" t="n">
        <v>0.933493</v>
      </c>
      <c r="F116" s="4" t="n">
        <v>2373609.86</v>
      </c>
      <c r="G116" s="4" t="n">
        <v>147373.57</v>
      </c>
      <c r="H116" s="4" t="n">
        <v>0.022922</v>
      </c>
    </row>
    <row r="117" customFormat="false" ht="15" hidden="false" customHeight="false" outlineLevel="0" collapsed="false">
      <c r="A117" s="4" t="s">
        <v>52</v>
      </c>
      <c r="B117" s="4" t="s">
        <v>80</v>
      </c>
      <c r="C117" s="4" t="n">
        <v>26868</v>
      </c>
      <c r="D117" s="4" t="n">
        <v>25452</v>
      </c>
      <c r="E117" s="4" t="n">
        <v>0.947298</v>
      </c>
      <c r="F117" s="4" t="n">
        <v>9511186.01</v>
      </c>
      <c r="G117" s="4" t="n">
        <v>551375.93</v>
      </c>
      <c r="H117" s="4" t="n">
        <v>0.09225</v>
      </c>
    </row>
    <row r="118" customFormat="false" ht="15" hidden="false" customHeight="false" outlineLevel="0" collapsed="false">
      <c r="A118" s="4" t="s">
        <v>52</v>
      </c>
      <c r="B118" s="4" t="s">
        <v>81</v>
      </c>
      <c r="C118" s="4" t="n">
        <v>16735</v>
      </c>
      <c r="D118" s="4" t="n">
        <v>15208</v>
      </c>
      <c r="E118" s="4" t="n">
        <v>0.908754</v>
      </c>
      <c r="F118" s="4" t="n">
        <v>6241800.79</v>
      </c>
      <c r="G118" s="4" t="n">
        <v>640686.02</v>
      </c>
      <c r="H118" s="4" t="n">
        <v>0.057459</v>
      </c>
    </row>
    <row r="119" customFormat="false" ht="15" hidden="false" customHeight="false" outlineLevel="0" collapsed="false">
      <c r="A119" s="4" t="s">
        <v>52</v>
      </c>
      <c r="B119" s="4" t="s">
        <v>82</v>
      </c>
      <c r="C119" s="4" t="n">
        <v>14388</v>
      </c>
      <c r="D119" s="4" t="n">
        <v>13044</v>
      </c>
      <c r="E119" s="4" t="n">
        <v>0.906589</v>
      </c>
      <c r="F119" s="4" t="n">
        <v>5178905.56</v>
      </c>
      <c r="G119" s="4" t="n">
        <v>531845.71</v>
      </c>
      <c r="H119" s="4" t="n">
        <v>0.049401</v>
      </c>
    </row>
    <row r="120" customFormat="false" ht="15" hidden="false" customHeight="false" outlineLevel="0" collapsed="false">
      <c r="A120" s="4" t="s">
        <v>52</v>
      </c>
      <c r="B120" s="4" t="s">
        <v>83</v>
      </c>
      <c r="C120" s="4" t="n">
        <v>43545</v>
      </c>
      <c r="D120" s="4" t="n">
        <v>41790</v>
      </c>
      <c r="E120" s="4" t="n">
        <v>0.959697</v>
      </c>
      <c r="F120" s="4" t="n">
        <v>15456723.52</v>
      </c>
      <c r="G120" s="4" t="n">
        <v>729999.66</v>
      </c>
      <c r="H120" s="4" t="n">
        <v>0.14951</v>
      </c>
    </row>
    <row r="121" customFormat="false" ht="15" hidden="false" customHeight="false" outlineLevel="0" collapsed="false">
      <c r="A121" s="4" t="s">
        <v>52</v>
      </c>
      <c r="B121" s="4" t="s">
        <v>84</v>
      </c>
      <c r="C121" s="4" t="n">
        <v>33052</v>
      </c>
      <c r="D121" s="4" t="n">
        <v>31640</v>
      </c>
      <c r="E121" s="4" t="n">
        <v>0.957279</v>
      </c>
      <c r="F121" s="4" t="n">
        <v>11587542.79</v>
      </c>
      <c r="G121" s="4" t="n">
        <v>563412.37</v>
      </c>
      <c r="H121" s="4" t="n">
        <v>0.113483</v>
      </c>
    </row>
    <row r="122" customFormat="false" ht="15" hidden="false" customHeight="false" outlineLevel="0" collapsed="false">
      <c r="A122" s="4" t="s">
        <v>52</v>
      </c>
      <c r="B122" s="4" t="s">
        <v>85</v>
      </c>
      <c r="C122" s="4" t="n">
        <v>8767</v>
      </c>
      <c r="D122" s="4" t="n">
        <v>8314</v>
      </c>
      <c r="E122" s="4" t="n">
        <v>0.948329</v>
      </c>
      <c r="F122" s="4" t="n">
        <v>3121651.98</v>
      </c>
      <c r="G122" s="4" t="n">
        <v>191324.06</v>
      </c>
      <c r="H122" s="4" t="n">
        <v>0.030101</v>
      </c>
    </row>
    <row r="123" customFormat="false" ht="15" hidden="false" customHeight="false" outlineLevel="0" collapsed="false">
      <c r="A123" s="4" t="s">
        <v>52</v>
      </c>
      <c r="B123" s="4" t="s">
        <v>86</v>
      </c>
      <c r="C123" s="4" t="n">
        <v>17902</v>
      </c>
      <c r="D123" s="4" t="n">
        <v>17077</v>
      </c>
      <c r="E123" s="4" t="n">
        <v>0.953916</v>
      </c>
      <c r="F123" s="4" t="n">
        <v>6253158.13</v>
      </c>
      <c r="G123" s="4" t="n">
        <v>319039.97</v>
      </c>
      <c r="H123" s="4" t="n">
        <v>0.061466</v>
      </c>
    </row>
    <row r="124" customFormat="false" ht="15" hidden="false" customHeight="false" outlineLevel="0" collapsed="false">
      <c r="A124" s="4" t="s">
        <v>52</v>
      </c>
      <c r="B124" s="4" t="s">
        <v>87</v>
      </c>
      <c r="C124" s="4" t="n">
        <v>7711</v>
      </c>
      <c r="D124" s="4" t="n">
        <v>7209</v>
      </c>
      <c r="E124" s="4" t="n">
        <v>0.934898</v>
      </c>
      <c r="F124" s="4" t="n">
        <v>2671142.85</v>
      </c>
      <c r="G124" s="4" t="n">
        <v>179012.97</v>
      </c>
      <c r="H124" s="4" t="n">
        <v>0.026475</v>
      </c>
    </row>
    <row r="125" customFormat="false" ht="15" hidden="false" customHeight="false" outlineLevel="0" collapsed="false">
      <c r="A125" s="4" t="s">
        <v>52</v>
      </c>
      <c r="B125" s="4" t="s">
        <v>88</v>
      </c>
      <c r="C125" s="4" t="n">
        <v>22544</v>
      </c>
      <c r="D125" s="4" t="n">
        <v>20376</v>
      </c>
      <c r="E125" s="4" t="n">
        <v>0.903833</v>
      </c>
      <c r="F125" s="4" t="n">
        <v>8091505.08</v>
      </c>
      <c r="G125" s="4" t="n">
        <v>865959.94</v>
      </c>
      <c r="H125" s="4" t="n">
        <v>0.077404</v>
      </c>
    </row>
    <row r="126" customFormat="false" ht="15" hidden="false" customHeight="false" outlineLevel="0" collapsed="false">
      <c r="A126" s="4" t="s">
        <v>52</v>
      </c>
      <c r="B126" s="4" t="s">
        <v>89</v>
      </c>
      <c r="C126" s="4" t="n">
        <v>13319</v>
      </c>
      <c r="D126" s="4" t="n">
        <v>11382</v>
      </c>
      <c r="E126" s="4" t="n">
        <v>0.854569</v>
      </c>
      <c r="F126" s="4" t="n">
        <v>4542336.05</v>
      </c>
      <c r="G126" s="4" t="n">
        <v>745876.29</v>
      </c>
      <c r="H126" s="4" t="n">
        <v>0.04573</v>
      </c>
    </row>
    <row r="127" customFormat="false" ht="15" hidden="false" customHeight="false" outlineLevel="0" collapsed="false">
      <c r="A127" s="4" t="s">
        <v>52</v>
      </c>
      <c r="B127" s="4" t="s">
        <v>90</v>
      </c>
      <c r="C127" s="4" t="n">
        <v>55637</v>
      </c>
      <c r="D127" s="4" t="n">
        <v>51127</v>
      </c>
      <c r="E127" s="4" t="n">
        <v>0.918939</v>
      </c>
      <c r="F127" s="4" t="n">
        <v>19103225.64</v>
      </c>
      <c r="G127" s="4" t="n">
        <v>1743754.4</v>
      </c>
      <c r="H127" s="4" t="n">
        <v>0.191028</v>
      </c>
    </row>
    <row r="128" customFormat="false" ht="15" hidden="false" customHeight="false" outlineLevel="0" collapsed="false">
      <c r="A128" s="4" t="s">
        <v>52</v>
      </c>
      <c r="B128" s="4" t="s">
        <v>91</v>
      </c>
      <c r="C128" s="4" t="n">
        <v>13026</v>
      </c>
      <c r="D128" s="4" t="n">
        <v>11723</v>
      </c>
      <c r="E128" s="4" t="n">
        <v>0.899969</v>
      </c>
      <c r="F128" s="4" t="n">
        <v>4591678.76</v>
      </c>
      <c r="G128" s="4" t="n">
        <v>481080.27</v>
      </c>
      <c r="H128" s="4" t="n">
        <v>0.044724</v>
      </c>
    </row>
    <row r="129" customFormat="false" ht="15" hidden="false" customHeight="false" outlineLevel="0" collapsed="false">
      <c r="A129" s="4" t="s">
        <v>52</v>
      </c>
      <c r="B129" s="4" t="s">
        <v>92</v>
      </c>
      <c r="C129" s="4" t="n">
        <v>11081</v>
      </c>
      <c r="D129" s="4" t="n">
        <v>10436</v>
      </c>
      <c r="E129" s="4" t="n">
        <v>0.941792</v>
      </c>
      <c r="F129" s="4" t="n">
        <v>3895184.91</v>
      </c>
      <c r="G129" s="4" t="n">
        <v>261721.19</v>
      </c>
      <c r="H129" s="4" t="n">
        <v>0.038046</v>
      </c>
    </row>
    <row r="130" customFormat="false" ht="15" hidden="false" customHeight="false" outlineLevel="0" collapsed="false">
      <c r="A130" s="4" t="s">
        <v>53</v>
      </c>
      <c r="B130" s="4" t="s">
        <v>79</v>
      </c>
      <c r="C130" s="4" t="n">
        <v>6507</v>
      </c>
      <c r="D130" s="4" t="n">
        <v>6074</v>
      </c>
      <c r="E130" s="4" t="n">
        <v>0.933456</v>
      </c>
      <c r="F130" s="4" t="n">
        <v>2347388.04</v>
      </c>
      <c r="G130" s="4" t="n">
        <v>175303.51</v>
      </c>
      <c r="H130" s="4" t="n">
        <v>0.022462</v>
      </c>
    </row>
    <row r="131" customFormat="false" ht="15" hidden="false" customHeight="false" outlineLevel="0" collapsed="false">
      <c r="A131" s="4" t="s">
        <v>53</v>
      </c>
      <c r="B131" s="4" t="s">
        <v>80</v>
      </c>
      <c r="C131" s="4" t="n">
        <v>26906</v>
      </c>
      <c r="D131" s="4" t="n">
        <v>25438</v>
      </c>
      <c r="E131" s="4" t="n">
        <v>0.94544</v>
      </c>
      <c r="F131" s="4" t="n">
        <v>9401809.46</v>
      </c>
      <c r="G131" s="4" t="n">
        <v>569143.79</v>
      </c>
      <c r="H131" s="4" t="n">
        <v>0.092878</v>
      </c>
    </row>
    <row r="132" customFormat="false" ht="15" hidden="false" customHeight="false" outlineLevel="0" collapsed="false">
      <c r="A132" s="4" t="s">
        <v>53</v>
      </c>
      <c r="B132" s="4" t="s">
        <v>81</v>
      </c>
      <c r="C132" s="4" t="n">
        <v>16706</v>
      </c>
      <c r="D132" s="4" t="n">
        <v>15209</v>
      </c>
      <c r="E132" s="4" t="n">
        <v>0.910391</v>
      </c>
      <c r="F132" s="4" t="n">
        <v>5988230.89</v>
      </c>
      <c r="G132" s="4" t="n">
        <v>560022.56</v>
      </c>
      <c r="H132" s="4" t="n">
        <v>0.057668</v>
      </c>
    </row>
    <row r="133" customFormat="false" ht="15" hidden="false" customHeight="false" outlineLevel="0" collapsed="false">
      <c r="A133" s="4" t="s">
        <v>53</v>
      </c>
      <c r="B133" s="4" t="s">
        <v>82</v>
      </c>
      <c r="C133" s="4" t="n">
        <v>14232</v>
      </c>
      <c r="D133" s="4" t="n">
        <v>12960</v>
      </c>
      <c r="E133" s="4" t="n">
        <v>0.910624</v>
      </c>
      <c r="F133" s="4" t="n">
        <v>5225638.28</v>
      </c>
      <c r="G133" s="4" t="n">
        <v>463586.35</v>
      </c>
      <c r="H133" s="4" t="n">
        <v>0.049128</v>
      </c>
    </row>
    <row r="134" customFormat="false" ht="15" hidden="false" customHeight="false" outlineLevel="0" collapsed="false">
      <c r="A134" s="4" t="s">
        <v>53</v>
      </c>
      <c r="B134" s="4" t="s">
        <v>83</v>
      </c>
      <c r="C134" s="4" t="n">
        <v>43548</v>
      </c>
      <c r="D134" s="4" t="n">
        <v>41758</v>
      </c>
      <c r="E134" s="4" t="n">
        <v>0.958896</v>
      </c>
      <c r="F134" s="4" t="n">
        <v>15745827.17</v>
      </c>
      <c r="G134" s="4" t="n">
        <v>691460.78</v>
      </c>
      <c r="H134" s="4" t="n">
        <v>0.150325</v>
      </c>
    </row>
    <row r="135" customFormat="false" ht="15" hidden="false" customHeight="false" outlineLevel="0" collapsed="false">
      <c r="A135" s="4" t="s">
        <v>53</v>
      </c>
      <c r="B135" s="4" t="s">
        <v>84</v>
      </c>
      <c r="C135" s="4" t="n">
        <v>32538</v>
      </c>
      <c r="D135" s="4" t="n">
        <v>31046</v>
      </c>
      <c r="E135" s="4" t="n">
        <v>0.954146</v>
      </c>
      <c r="F135" s="4" t="n">
        <v>11506986.96</v>
      </c>
      <c r="G135" s="4" t="n">
        <v>577462.72</v>
      </c>
      <c r="H135" s="4" t="n">
        <v>0.112319</v>
      </c>
    </row>
    <row r="136" customFormat="false" ht="15" hidden="false" customHeight="false" outlineLevel="0" collapsed="false">
      <c r="A136" s="4" t="s">
        <v>53</v>
      </c>
      <c r="B136" s="4" t="s">
        <v>85</v>
      </c>
      <c r="C136" s="4" t="n">
        <v>8518</v>
      </c>
      <c r="D136" s="4" t="n">
        <v>8057</v>
      </c>
      <c r="E136" s="4" t="n">
        <v>0.945879</v>
      </c>
      <c r="F136" s="4" t="n">
        <v>3108457.65</v>
      </c>
      <c r="G136" s="4" t="n">
        <v>174789.02</v>
      </c>
      <c r="H136" s="4" t="n">
        <v>0.029404</v>
      </c>
    </row>
    <row r="137" customFormat="false" ht="15" hidden="false" customHeight="false" outlineLevel="0" collapsed="false">
      <c r="A137" s="4" t="s">
        <v>53</v>
      </c>
      <c r="B137" s="4" t="s">
        <v>86</v>
      </c>
      <c r="C137" s="4" t="n">
        <v>17609</v>
      </c>
      <c r="D137" s="4" t="n">
        <v>16806</v>
      </c>
      <c r="E137" s="4" t="n">
        <v>0.954398</v>
      </c>
      <c r="F137" s="4" t="n">
        <v>6083300.74</v>
      </c>
      <c r="G137" s="4" t="n">
        <v>306050.39</v>
      </c>
      <c r="H137" s="4" t="n">
        <v>0.060785</v>
      </c>
    </row>
    <row r="138" customFormat="false" ht="15" hidden="false" customHeight="false" outlineLevel="0" collapsed="false">
      <c r="A138" s="4" t="s">
        <v>53</v>
      </c>
      <c r="B138" s="4" t="s">
        <v>87</v>
      </c>
      <c r="C138" s="4" t="n">
        <v>7566</v>
      </c>
      <c r="D138" s="4" t="n">
        <v>7077</v>
      </c>
      <c r="E138" s="4" t="n">
        <v>0.935369</v>
      </c>
      <c r="F138" s="4" t="n">
        <v>2730748.57</v>
      </c>
      <c r="G138" s="4" t="n">
        <v>176302.71</v>
      </c>
      <c r="H138" s="4" t="n">
        <v>0.026117</v>
      </c>
    </row>
    <row r="139" customFormat="false" ht="15" hidden="false" customHeight="false" outlineLevel="0" collapsed="false">
      <c r="A139" s="4" t="s">
        <v>53</v>
      </c>
      <c r="B139" s="4" t="s">
        <v>88</v>
      </c>
      <c r="C139" s="4" t="n">
        <v>22595</v>
      </c>
      <c r="D139" s="4" t="n">
        <v>20404</v>
      </c>
      <c r="E139" s="4" t="n">
        <v>0.903032</v>
      </c>
      <c r="F139" s="4" t="n">
        <v>8224172.11</v>
      </c>
      <c r="G139" s="4" t="n">
        <v>881208.4</v>
      </c>
      <c r="H139" s="4" t="n">
        <v>0.077997</v>
      </c>
    </row>
    <row r="140" customFormat="false" ht="15" hidden="false" customHeight="false" outlineLevel="0" collapsed="false">
      <c r="A140" s="4" t="s">
        <v>53</v>
      </c>
      <c r="B140" s="4" t="s">
        <v>89</v>
      </c>
      <c r="C140" s="4" t="n">
        <v>13564</v>
      </c>
      <c r="D140" s="4" t="n">
        <v>11644</v>
      </c>
      <c r="E140" s="4" t="n">
        <v>0.858449</v>
      </c>
      <c r="F140" s="4" t="n">
        <v>4420052.33</v>
      </c>
      <c r="G140" s="4" t="n">
        <v>648852.33</v>
      </c>
      <c r="H140" s="4" t="n">
        <v>0.046822</v>
      </c>
    </row>
    <row r="141" customFormat="false" ht="15" hidden="false" customHeight="false" outlineLevel="0" collapsed="false">
      <c r="A141" s="4" t="s">
        <v>53</v>
      </c>
      <c r="B141" s="4" t="s">
        <v>90</v>
      </c>
      <c r="C141" s="4" t="n">
        <v>55311</v>
      </c>
      <c r="D141" s="4" t="n">
        <v>50815</v>
      </c>
      <c r="E141" s="4" t="n">
        <v>0.918714</v>
      </c>
      <c r="F141" s="4" t="n">
        <v>19008547.01</v>
      </c>
      <c r="G141" s="4" t="n">
        <v>1652420.8</v>
      </c>
      <c r="H141" s="4" t="n">
        <v>0.19093</v>
      </c>
    </row>
    <row r="142" customFormat="false" ht="15" hidden="false" customHeight="false" outlineLevel="0" collapsed="false">
      <c r="A142" s="4" t="s">
        <v>53</v>
      </c>
      <c r="B142" s="4" t="s">
        <v>91</v>
      </c>
      <c r="C142" s="4" t="n">
        <v>12942</v>
      </c>
      <c r="D142" s="4" t="n">
        <v>11635</v>
      </c>
      <c r="E142" s="4" t="n">
        <v>0.899011</v>
      </c>
      <c r="F142" s="4" t="n">
        <v>4566844.04</v>
      </c>
      <c r="G142" s="4" t="n">
        <v>494377.39</v>
      </c>
      <c r="H142" s="4" t="n">
        <v>0.044675</v>
      </c>
    </row>
    <row r="143" customFormat="false" ht="15" hidden="false" customHeight="false" outlineLevel="0" collapsed="false">
      <c r="A143" s="4" t="s">
        <v>53</v>
      </c>
      <c r="B143" s="4" t="s">
        <v>92</v>
      </c>
      <c r="C143" s="4" t="n">
        <v>11150</v>
      </c>
      <c r="D143" s="4" t="n">
        <v>10491</v>
      </c>
      <c r="E143" s="4" t="n">
        <v>0.940897</v>
      </c>
      <c r="F143" s="4" t="n">
        <v>4019734.81</v>
      </c>
      <c r="G143" s="4" t="n">
        <v>269824.79</v>
      </c>
      <c r="H143" s="4" t="n">
        <v>0.038489</v>
      </c>
    </row>
    <row r="144" customFormat="false" ht="15" hidden="false" customHeight="false" outlineLevel="0" collapsed="false">
      <c r="A144" s="4" t="s">
        <v>54</v>
      </c>
      <c r="B144" s="4" t="s">
        <v>79</v>
      </c>
      <c r="C144" s="4" t="n">
        <v>6156</v>
      </c>
      <c r="D144" s="4" t="n">
        <v>5759</v>
      </c>
      <c r="E144" s="4" t="n">
        <v>0.93551</v>
      </c>
      <c r="F144" s="4" t="n">
        <v>2151284.62</v>
      </c>
      <c r="G144" s="4" t="n">
        <v>140137.82</v>
      </c>
      <c r="H144" s="4" t="n">
        <v>0.022136</v>
      </c>
    </row>
    <row r="145" customFormat="false" ht="15" hidden="false" customHeight="false" outlineLevel="0" collapsed="false">
      <c r="A145" s="4" t="s">
        <v>54</v>
      </c>
      <c r="B145" s="4" t="s">
        <v>80</v>
      </c>
      <c r="C145" s="4" t="n">
        <v>25424</v>
      </c>
      <c r="D145" s="4" t="n">
        <v>24043</v>
      </c>
      <c r="E145" s="4" t="n">
        <v>0.945681</v>
      </c>
      <c r="F145" s="4" t="n">
        <v>8902980.83</v>
      </c>
      <c r="G145" s="4" t="n">
        <v>591825.21</v>
      </c>
      <c r="H145" s="4" t="n">
        <v>0.091421</v>
      </c>
    </row>
    <row r="146" customFormat="false" ht="15" hidden="false" customHeight="false" outlineLevel="0" collapsed="false">
      <c r="A146" s="4" t="s">
        <v>54</v>
      </c>
      <c r="B146" s="4" t="s">
        <v>81</v>
      </c>
      <c r="C146" s="4" t="n">
        <v>16022</v>
      </c>
      <c r="D146" s="4" t="n">
        <v>14599</v>
      </c>
      <c r="E146" s="4" t="n">
        <v>0.911185</v>
      </c>
      <c r="F146" s="4" t="n">
        <v>5833511.88</v>
      </c>
      <c r="G146" s="4" t="n">
        <v>580982.43</v>
      </c>
      <c r="H146" s="4" t="n">
        <v>0.057613</v>
      </c>
    </row>
    <row r="147" customFormat="false" ht="15" hidden="false" customHeight="false" outlineLevel="0" collapsed="false">
      <c r="A147" s="4" t="s">
        <v>54</v>
      </c>
      <c r="B147" s="4" t="s">
        <v>82</v>
      </c>
      <c r="C147" s="4" t="n">
        <v>13456</v>
      </c>
      <c r="D147" s="4" t="n">
        <v>12278</v>
      </c>
      <c r="E147" s="4" t="n">
        <v>0.912455</v>
      </c>
      <c r="F147" s="4" t="n">
        <v>4760525.51</v>
      </c>
      <c r="G147" s="4" t="n">
        <v>466265.13</v>
      </c>
      <c r="H147" s="4" t="n">
        <v>0.048386</v>
      </c>
    </row>
    <row r="148" customFormat="false" ht="15" hidden="false" customHeight="false" outlineLevel="0" collapsed="false">
      <c r="A148" s="4" t="s">
        <v>54</v>
      </c>
      <c r="B148" s="4" t="s">
        <v>83</v>
      </c>
      <c r="C148" s="4" t="n">
        <v>42100</v>
      </c>
      <c r="D148" s="4" t="n">
        <v>40399</v>
      </c>
      <c r="E148" s="4" t="n">
        <v>0.959596</v>
      </c>
      <c r="F148" s="4" t="n">
        <v>14779443.34</v>
      </c>
      <c r="G148" s="4" t="n">
        <v>717557.17</v>
      </c>
      <c r="H148" s="4" t="n">
        <v>0.151385</v>
      </c>
    </row>
    <row r="149" customFormat="false" ht="15" hidden="false" customHeight="false" outlineLevel="0" collapsed="false">
      <c r="A149" s="4" t="s">
        <v>54</v>
      </c>
      <c r="B149" s="4" t="s">
        <v>84</v>
      </c>
      <c r="C149" s="4" t="n">
        <v>31253</v>
      </c>
      <c r="D149" s="4" t="n">
        <v>29873</v>
      </c>
      <c r="E149" s="4" t="n">
        <v>0.955844</v>
      </c>
      <c r="F149" s="4" t="n">
        <v>11006818.86</v>
      </c>
      <c r="G149" s="4" t="n">
        <v>557049.3</v>
      </c>
      <c r="H149" s="4" t="n">
        <v>0.112381</v>
      </c>
    </row>
    <row r="150" customFormat="false" ht="15" hidden="false" customHeight="false" outlineLevel="0" collapsed="false">
      <c r="A150" s="4" t="s">
        <v>54</v>
      </c>
      <c r="B150" s="4" t="s">
        <v>85</v>
      </c>
      <c r="C150" s="4" t="n">
        <v>8203</v>
      </c>
      <c r="D150" s="4" t="n">
        <v>7790</v>
      </c>
      <c r="E150" s="4" t="n">
        <v>0.949653</v>
      </c>
      <c r="F150" s="4" t="n">
        <v>3089543.16</v>
      </c>
      <c r="G150" s="4" t="n">
        <v>197755.33</v>
      </c>
      <c r="H150" s="4" t="n">
        <v>0.029497</v>
      </c>
    </row>
    <row r="151" customFormat="false" ht="15" hidden="false" customHeight="false" outlineLevel="0" collapsed="false">
      <c r="A151" s="4" t="s">
        <v>54</v>
      </c>
      <c r="B151" s="4" t="s">
        <v>86</v>
      </c>
      <c r="C151" s="4" t="n">
        <v>17047</v>
      </c>
      <c r="D151" s="4" t="n">
        <v>16240</v>
      </c>
      <c r="E151" s="4" t="n">
        <v>0.95266</v>
      </c>
      <c r="F151" s="4" t="n">
        <v>5806030.88</v>
      </c>
      <c r="G151" s="4" t="n">
        <v>315810.12</v>
      </c>
      <c r="H151" s="4" t="n">
        <v>0.061299</v>
      </c>
    </row>
    <row r="152" customFormat="false" ht="15" hidden="false" customHeight="false" outlineLevel="0" collapsed="false">
      <c r="A152" s="4" t="s">
        <v>54</v>
      </c>
      <c r="B152" s="4" t="s">
        <v>87</v>
      </c>
      <c r="C152" s="4" t="n">
        <v>7260</v>
      </c>
      <c r="D152" s="4" t="n">
        <v>6806</v>
      </c>
      <c r="E152" s="4" t="n">
        <v>0.937466</v>
      </c>
      <c r="F152" s="4" t="n">
        <v>2652063.23</v>
      </c>
      <c r="G152" s="4" t="n">
        <v>183482.35</v>
      </c>
      <c r="H152" s="4" t="n">
        <v>0.026106</v>
      </c>
    </row>
    <row r="153" customFormat="false" ht="15" hidden="false" customHeight="false" outlineLevel="0" collapsed="false">
      <c r="A153" s="4" t="s">
        <v>54</v>
      </c>
      <c r="B153" s="4" t="s">
        <v>88</v>
      </c>
      <c r="C153" s="4" t="n">
        <v>21630</v>
      </c>
      <c r="D153" s="4" t="n">
        <v>19536</v>
      </c>
      <c r="E153" s="4" t="n">
        <v>0.90319</v>
      </c>
      <c r="F153" s="4" t="n">
        <v>7897395.38</v>
      </c>
      <c r="G153" s="4" t="n">
        <v>823950.45</v>
      </c>
      <c r="H153" s="4" t="n">
        <v>0.077778</v>
      </c>
    </row>
    <row r="154" customFormat="false" ht="15" hidden="false" customHeight="false" outlineLevel="0" collapsed="false">
      <c r="A154" s="4" t="s">
        <v>54</v>
      </c>
      <c r="B154" s="4" t="s">
        <v>89</v>
      </c>
      <c r="C154" s="4" t="n">
        <v>12636</v>
      </c>
      <c r="D154" s="4" t="n">
        <v>10848</v>
      </c>
      <c r="E154" s="4" t="n">
        <v>0.8585</v>
      </c>
      <c r="F154" s="4" t="n">
        <v>4324622.12</v>
      </c>
      <c r="G154" s="4" t="n">
        <v>627684.83</v>
      </c>
      <c r="H154" s="4" t="n">
        <v>0.045437</v>
      </c>
    </row>
    <row r="155" customFormat="false" ht="15" hidden="false" customHeight="false" outlineLevel="0" collapsed="false">
      <c r="A155" s="4" t="s">
        <v>54</v>
      </c>
      <c r="B155" s="4" t="s">
        <v>90</v>
      </c>
      <c r="C155" s="4" t="n">
        <v>53915</v>
      </c>
      <c r="D155" s="4" t="n">
        <v>49467</v>
      </c>
      <c r="E155" s="4" t="n">
        <v>0.9175</v>
      </c>
      <c r="F155" s="4" t="n">
        <v>18568883.1</v>
      </c>
      <c r="G155" s="4" t="n">
        <v>1653145.31</v>
      </c>
      <c r="H155" s="4" t="n">
        <v>0.193871</v>
      </c>
    </row>
    <row r="156" customFormat="false" ht="15" hidden="false" customHeight="false" outlineLevel="0" collapsed="false">
      <c r="A156" s="4" t="s">
        <v>54</v>
      </c>
      <c r="B156" s="4" t="s">
        <v>91</v>
      </c>
      <c r="C156" s="4" t="n">
        <v>12503</v>
      </c>
      <c r="D156" s="4" t="n">
        <v>11252</v>
      </c>
      <c r="E156" s="4" t="n">
        <v>0.899944</v>
      </c>
      <c r="F156" s="4" t="n">
        <v>4409644.49</v>
      </c>
      <c r="G156" s="4" t="n">
        <v>453099.21</v>
      </c>
      <c r="H156" s="4" t="n">
        <v>0.044959</v>
      </c>
    </row>
    <row r="157" customFormat="false" ht="15" hidden="false" customHeight="false" outlineLevel="0" collapsed="false">
      <c r="A157" s="4" t="s">
        <v>54</v>
      </c>
      <c r="B157" s="4" t="s">
        <v>92</v>
      </c>
      <c r="C157" s="4" t="n">
        <v>10493</v>
      </c>
      <c r="D157" s="4" t="n">
        <v>9873</v>
      </c>
      <c r="E157" s="4" t="n">
        <v>0.940913</v>
      </c>
      <c r="F157" s="4" t="n">
        <v>3653704.41</v>
      </c>
      <c r="G157" s="4" t="n">
        <v>236622.54</v>
      </c>
      <c r="H157" s="4" t="n">
        <v>0.037731</v>
      </c>
    </row>
    <row r="158" customFormat="false" ht="15" hidden="false" customHeight="false" outlineLevel="0" collapsed="false">
      <c r="A158" s="4" t="s">
        <v>55</v>
      </c>
      <c r="B158" s="4" t="s">
        <v>79</v>
      </c>
      <c r="C158" s="4" t="n">
        <v>6203</v>
      </c>
      <c r="D158" s="4" t="n">
        <v>5761</v>
      </c>
      <c r="E158" s="4" t="n">
        <v>0.928744</v>
      </c>
      <c r="F158" s="4" t="n">
        <v>2197468.28</v>
      </c>
      <c r="G158" s="4" t="n">
        <v>169483.71</v>
      </c>
      <c r="H158" s="4" t="n">
        <v>0.022048</v>
      </c>
    </row>
    <row r="159" customFormat="false" ht="15" hidden="false" customHeight="false" outlineLevel="0" collapsed="false">
      <c r="A159" s="4" t="s">
        <v>55</v>
      </c>
      <c r="B159" s="4" t="s">
        <v>80</v>
      </c>
      <c r="C159" s="4" t="n">
        <v>26413</v>
      </c>
      <c r="D159" s="4" t="n">
        <v>24966</v>
      </c>
      <c r="E159" s="4" t="n">
        <v>0.945216</v>
      </c>
      <c r="F159" s="4" t="n">
        <v>9254238.58</v>
      </c>
      <c r="G159" s="4" t="n">
        <v>544506.72</v>
      </c>
      <c r="H159" s="4" t="n">
        <v>0.093884</v>
      </c>
    </row>
    <row r="160" customFormat="false" ht="15" hidden="false" customHeight="false" outlineLevel="0" collapsed="false">
      <c r="A160" s="4" t="s">
        <v>55</v>
      </c>
      <c r="B160" s="4" t="s">
        <v>81</v>
      </c>
      <c r="C160" s="4" t="n">
        <v>15593</v>
      </c>
      <c r="D160" s="4" t="n">
        <v>14201</v>
      </c>
      <c r="E160" s="4" t="n">
        <v>0.910729</v>
      </c>
      <c r="F160" s="4" t="n">
        <v>5706760.95</v>
      </c>
      <c r="G160" s="4" t="n">
        <v>507840.74</v>
      </c>
      <c r="H160" s="4" t="n">
        <v>0.055424</v>
      </c>
    </row>
    <row r="161" customFormat="false" ht="15" hidden="false" customHeight="false" outlineLevel="0" collapsed="false">
      <c r="A161" s="4" t="s">
        <v>55</v>
      </c>
      <c r="B161" s="4" t="s">
        <v>82</v>
      </c>
      <c r="C161" s="4" t="n">
        <v>13392</v>
      </c>
      <c r="D161" s="4" t="n">
        <v>12118</v>
      </c>
      <c r="E161" s="4" t="n">
        <v>0.904869</v>
      </c>
      <c r="F161" s="4" t="n">
        <v>4726893.33</v>
      </c>
      <c r="G161" s="4" t="n">
        <v>531075.12</v>
      </c>
      <c r="H161" s="4" t="n">
        <v>0.047601</v>
      </c>
    </row>
    <row r="162" customFormat="false" ht="15" hidden="false" customHeight="false" outlineLevel="0" collapsed="false">
      <c r="A162" s="4" t="s">
        <v>55</v>
      </c>
      <c r="B162" s="4" t="s">
        <v>83</v>
      </c>
      <c r="C162" s="4" t="n">
        <v>42783</v>
      </c>
      <c r="D162" s="4" t="n">
        <v>41026</v>
      </c>
      <c r="E162" s="4" t="n">
        <v>0.958932</v>
      </c>
      <c r="F162" s="4" t="n">
        <v>15072819.8</v>
      </c>
      <c r="G162" s="4" t="n">
        <v>621492.8</v>
      </c>
      <c r="H162" s="4" t="n">
        <v>0.15207</v>
      </c>
    </row>
    <row r="163" customFormat="false" ht="15" hidden="false" customHeight="false" outlineLevel="0" collapsed="false">
      <c r="A163" s="4" t="s">
        <v>55</v>
      </c>
      <c r="B163" s="4" t="s">
        <v>84</v>
      </c>
      <c r="C163" s="4" t="n">
        <v>32256</v>
      </c>
      <c r="D163" s="4" t="n">
        <v>30834</v>
      </c>
      <c r="E163" s="4" t="n">
        <v>0.955915</v>
      </c>
      <c r="F163" s="4" t="n">
        <v>11289272.09</v>
      </c>
      <c r="G163" s="4" t="n">
        <v>530951.55</v>
      </c>
      <c r="H163" s="4" t="n">
        <v>0.114652</v>
      </c>
    </row>
    <row r="164" customFormat="false" ht="15" hidden="false" customHeight="false" outlineLevel="0" collapsed="false">
      <c r="A164" s="4" t="s">
        <v>55</v>
      </c>
      <c r="B164" s="4" t="s">
        <v>85</v>
      </c>
      <c r="C164" s="4" t="n">
        <v>8564</v>
      </c>
      <c r="D164" s="4" t="n">
        <v>8124</v>
      </c>
      <c r="E164" s="4" t="n">
        <v>0.948622</v>
      </c>
      <c r="F164" s="4" t="n">
        <v>3085036.31</v>
      </c>
      <c r="G164" s="4" t="n">
        <v>175487.44</v>
      </c>
      <c r="H164" s="4" t="n">
        <v>0.03044</v>
      </c>
    </row>
    <row r="165" customFormat="false" ht="15" hidden="false" customHeight="false" outlineLevel="0" collapsed="false">
      <c r="A165" s="4" t="s">
        <v>55</v>
      </c>
      <c r="B165" s="4" t="s">
        <v>86</v>
      </c>
      <c r="C165" s="4" t="n">
        <v>16965</v>
      </c>
      <c r="D165" s="4" t="n">
        <v>16169</v>
      </c>
      <c r="E165" s="4" t="n">
        <v>0.95308</v>
      </c>
      <c r="F165" s="4" t="n">
        <v>5766204.31</v>
      </c>
      <c r="G165" s="4" t="n">
        <v>307513.08</v>
      </c>
      <c r="H165" s="4" t="n">
        <v>0.060301</v>
      </c>
    </row>
    <row r="166" customFormat="false" ht="15" hidden="false" customHeight="false" outlineLevel="0" collapsed="false">
      <c r="A166" s="4" t="s">
        <v>55</v>
      </c>
      <c r="B166" s="4" t="s">
        <v>87</v>
      </c>
      <c r="C166" s="4" t="n">
        <v>7322</v>
      </c>
      <c r="D166" s="4" t="n">
        <v>6856</v>
      </c>
      <c r="E166" s="4" t="n">
        <v>0.936356</v>
      </c>
      <c r="F166" s="4" t="n">
        <v>2504607.33</v>
      </c>
      <c r="G166" s="4" t="n">
        <v>163613.2</v>
      </c>
      <c r="H166" s="4" t="n">
        <v>0.026026</v>
      </c>
    </row>
    <row r="167" customFormat="false" ht="15" hidden="false" customHeight="false" outlineLevel="0" collapsed="false">
      <c r="A167" s="4" t="s">
        <v>55</v>
      </c>
      <c r="B167" s="4" t="s">
        <v>88</v>
      </c>
      <c r="C167" s="4" t="n">
        <v>21743</v>
      </c>
      <c r="D167" s="4" t="n">
        <v>19635</v>
      </c>
      <c r="E167" s="4" t="n">
        <v>0.903049</v>
      </c>
      <c r="F167" s="4" t="n">
        <v>7886816.03</v>
      </c>
      <c r="G167" s="4" t="n">
        <v>853601.84</v>
      </c>
      <c r="H167" s="4" t="n">
        <v>0.077284</v>
      </c>
    </row>
    <row r="168" customFormat="false" ht="15" hidden="false" customHeight="false" outlineLevel="0" collapsed="false">
      <c r="A168" s="4" t="s">
        <v>55</v>
      </c>
      <c r="B168" s="4" t="s">
        <v>89</v>
      </c>
      <c r="C168" s="4" t="n">
        <v>13033</v>
      </c>
      <c r="D168" s="4" t="n">
        <v>11049</v>
      </c>
      <c r="E168" s="4" t="n">
        <v>0.847771</v>
      </c>
      <c r="F168" s="4" t="n">
        <v>4385212.17</v>
      </c>
      <c r="G168" s="4" t="n">
        <v>690769.05</v>
      </c>
      <c r="H168" s="4" t="n">
        <v>0.046325</v>
      </c>
    </row>
    <row r="169" customFormat="false" ht="15" hidden="false" customHeight="false" outlineLevel="0" collapsed="false">
      <c r="A169" s="4" t="s">
        <v>55</v>
      </c>
      <c r="B169" s="4" t="s">
        <v>90</v>
      </c>
      <c r="C169" s="4" t="n">
        <v>54024</v>
      </c>
      <c r="D169" s="4" t="n">
        <v>49573</v>
      </c>
      <c r="E169" s="4" t="n">
        <v>0.917611</v>
      </c>
      <c r="F169" s="4" t="n">
        <v>18707606.5</v>
      </c>
      <c r="G169" s="4" t="n">
        <v>1639038</v>
      </c>
      <c r="H169" s="4" t="n">
        <v>0.192025</v>
      </c>
    </row>
    <row r="170" customFormat="false" ht="15" hidden="false" customHeight="false" outlineLevel="0" collapsed="false">
      <c r="A170" s="4" t="s">
        <v>55</v>
      </c>
      <c r="B170" s="4" t="s">
        <v>91</v>
      </c>
      <c r="C170" s="4" t="n">
        <v>12364</v>
      </c>
      <c r="D170" s="4" t="n">
        <v>11093</v>
      </c>
      <c r="E170" s="4" t="n">
        <v>0.897202</v>
      </c>
      <c r="F170" s="4" t="n">
        <v>4465914.3</v>
      </c>
      <c r="G170" s="4" t="n">
        <v>509317.68</v>
      </c>
      <c r="H170" s="4" t="n">
        <v>0.043947</v>
      </c>
    </row>
    <row r="171" customFormat="false" ht="15" hidden="false" customHeight="false" outlineLevel="0" collapsed="false">
      <c r="A171" s="4" t="s">
        <v>55</v>
      </c>
      <c r="B171" s="4" t="s">
        <v>92</v>
      </c>
      <c r="C171" s="4" t="n">
        <v>10683</v>
      </c>
      <c r="D171" s="4" t="n">
        <v>10073</v>
      </c>
      <c r="E171" s="4" t="n">
        <v>0.9429</v>
      </c>
      <c r="F171" s="4" t="n">
        <v>3569643.1</v>
      </c>
      <c r="G171" s="4" t="n">
        <v>226250.52</v>
      </c>
      <c r="H171" s="4" t="n">
        <v>0.037972</v>
      </c>
    </row>
    <row r="172" customFormat="false" ht="15" hidden="false" customHeight="false" outlineLevel="0" collapsed="false">
      <c r="A172" s="4" t="s">
        <v>56</v>
      </c>
      <c r="B172" s="4" t="s">
        <v>79</v>
      </c>
      <c r="C172" s="4" t="n">
        <v>6501</v>
      </c>
      <c r="D172" s="4" t="n">
        <v>6047</v>
      </c>
      <c r="E172" s="4" t="n">
        <v>0.930165</v>
      </c>
      <c r="F172" s="4" t="n">
        <v>2376716.01</v>
      </c>
      <c r="G172" s="4" t="n">
        <v>188241.08</v>
      </c>
      <c r="H172" s="4" t="n">
        <v>0.021606</v>
      </c>
    </row>
    <row r="173" customFormat="false" ht="15" hidden="false" customHeight="false" outlineLevel="0" collapsed="false">
      <c r="A173" s="4" t="s">
        <v>56</v>
      </c>
      <c r="B173" s="4" t="s">
        <v>80</v>
      </c>
      <c r="C173" s="4" t="n">
        <v>28341</v>
      </c>
      <c r="D173" s="4" t="n">
        <v>26791</v>
      </c>
      <c r="E173" s="4" t="n">
        <v>0.945309</v>
      </c>
      <c r="F173" s="4" t="n">
        <v>9811778.06</v>
      </c>
      <c r="G173" s="4" t="n">
        <v>617037.63</v>
      </c>
      <c r="H173" s="4" t="n">
        <v>0.094189</v>
      </c>
    </row>
    <row r="174" customFormat="false" ht="15" hidden="false" customHeight="false" outlineLevel="0" collapsed="false">
      <c r="A174" s="4" t="s">
        <v>56</v>
      </c>
      <c r="B174" s="4" t="s">
        <v>81</v>
      </c>
      <c r="C174" s="4" t="n">
        <v>17019</v>
      </c>
      <c r="D174" s="4" t="n">
        <v>15546</v>
      </c>
      <c r="E174" s="4" t="n">
        <v>0.91345</v>
      </c>
      <c r="F174" s="4" t="n">
        <v>6243221.36</v>
      </c>
      <c r="G174" s="4" t="n">
        <v>564927.12</v>
      </c>
      <c r="H174" s="4" t="n">
        <v>0.056561</v>
      </c>
    </row>
    <row r="175" customFormat="false" ht="15" hidden="false" customHeight="false" outlineLevel="0" collapsed="false">
      <c r="A175" s="4" t="s">
        <v>56</v>
      </c>
      <c r="B175" s="4" t="s">
        <v>82</v>
      </c>
      <c r="C175" s="4" t="n">
        <v>14208</v>
      </c>
      <c r="D175" s="4" t="n">
        <v>12824</v>
      </c>
      <c r="E175" s="4" t="n">
        <v>0.90259</v>
      </c>
      <c r="F175" s="4" t="n">
        <v>5108889.15</v>
      </c>
      <c r="G175" s="4" t="n">
        <v>563096.01</v>
      </c>
      <c r="H175" s="4" t="n">
        <v>0.047219</v>
      </c>
    </row>
    <row r="176" customFormat="false" ht="15" hidden="false" customHeight="false" outlineLevel="0" collapsed="false">
      <c r="A176" s="4" t="s">
        <v>56</v>
      </c>
      <c r="B176" s="4" t="s">
        <v>83</v>
      </c>
      <c r="C176" s="4" t="n">
        <v>46373</v>
      </c>
      <c r="D176" s="4" t="n">
        <v>44540</v>
      </c>
      <c r="E176" s="4" t="n">
        <v>0.960473</v>
      </c>
      <c r="F176" s="4" t="n">
        <v>16597993.64</v>
      </c>
      <c r="G176" s="4" t="n">
        <v>829909.85</v>
      </c>
      <c r="H176" s="4" t="n">
        <v>0.154117</v>
      </c>
    </row>
    <row r="177" customFormat="false" ht="15" hidden="false" customHeight="false" outlineLevel="0" collapsed="false">
      <c r="A177" s="4" t="s">
        <v>56</v>
      </c>
      <c r="B177" s="4" t="s">
        <v>84</v>
      </c>
      <c r="C177" s="4" t="n">
        <v>34571</v>
      </c>
      <c r="D177" s="4" t="n">
        <v>32972</v>
      </c>
      <c r="E177" s="4" t="n">
        <v>0.953747</v>
      </c>
      <c r="F177" s="4" t="n">
        <v>12343877.88</v>
      </c>
      <c r="G177" s="4" t="n">
        <v>656846.98</v>
      </c>
      <c r="H177" s="4" t="n">
        <v>0.114894</v>
      </c>
    </row>
    <row r="178" customFormat="false" ht="15" hidden="false" customHeight="false" outlineLevel="0" collapsed="false">
      <c r="A178" s="4" t="s">
        <v>56</v>
      </c>
      <c r="B178" s="4" t="s">
        <v>85</v>
      </c>
      <c r="C178" s="4" t="n">
        <v>8924</v>
      </c>
      <c r="D178" s="4" t="n">
        <v>8461</v>
      </c>
      <c r="E178" s="4" t="n">
        <v>0.948117</v>
      </c>
      <c r="F178" s="4" t="n">
        <v>3258649.92</v>
      </c>
      <c r="G178" s="4" t="n">
        <v>178433.97</v>
      </c>
      <c r="H178" s="4" t="n">
        <v>0.029658</v>
      </c>
    </row>
    <row r="179" customFormat="false" ht="15" hidden="false" customHeight="false" outlineLevel="0" collapsed="false">
      <c r="A179" s="4" t="s">
        <v>56</v>
      </c>
      <c r="B179" s="4" t="s">
        <v>86</v>
      </c>
      <c r="C179" s="4" t="n">
        <v>18094</v>
      </c>
      <c r="D179" s="4" t="n">
        <v>17245</v>
      </c>
      <c r="E179" s="4" t="n">
        <v>0.953078</v>
      </c>
      <c r="F179" s="4" t="n">
        <v>6245437.38</v>
      </c>
      <c r="G179" s="4" t="n">
        <v>310806.2</v>
      </c>
      <c r="H179" s="4" t="n">
        <v>0.060134</v>
      </c>
    </row>
    <row r="180" customFormat="false" ht="15" hidden="false" customHeight="false" outlineLevel="0" collapsed="false">
      <c r="A180" s="4" t="s">
        <v>56</v>
      </c>
      <c r="B180" s="4" t="s">
        <v>87</v>
      </c>
      <c r="C180" s="4" t="n">
        <v>7933</v>
      </c>
      <c r="D180" s="4" t="n">
        <v>7409</v>
      </c>
      <c r="E180" s="4" t="n">
        <v>0.933947</v>
      </c>
      <c r="F180" s="4" t="n">
        <v>2812818.72</v>
      </c>
      <c r="G180" s="4" t="n">
        <v>200768.5</v>
      </c>
      <c r="H180" s="4" t="n">
        <v>0.026365</v>
      </c>
    </row>
    <row r="181" customFormat="false" ht="15" hidden="false" customHeight="false" outlineLevel="0" collapsed="false">
      <c r="A181" s="4" t="s">
        <v>56</v>
      </c>
      <c r="B181" s="4" t="s">
        <v>88</v>
      </c>
      <c r="C181" s="4" t="n">
        <v>23042</v>
      </c>
      <c r="D181" s="4" t="n">
        <v>20799</v>
      </c>
      <c r="E181" s="4" t="n">
        <v>0.902656</v>
      </c>
      <c r="F181" s="4" t="n">
        <v>8369361.58</v>
      </c>
      <c r="G181" s="4" t="n">
        <v>856080.09</v>
      </c>
      <c r="H181" s="4" t="n">
        <v>0.076578</v>
      </c>
    </row>
    <row r="182" customFormat="false" ht="15" hidden="false" customHeight="false" outlineLevel="0" collapsed="false">
      <c r="A182" s="4" t="s">
        <v>56</v>
      </c>
      <c r="B182" s="4" t="s">
        <v>89</v>
      </c>
      <c r="C182" s="4" t="n">
        <v>13692</v>
      </c>
      <c r="D182" s="4" t="n">
        <v>11611</v>
      </c>
      <c r="E182" s="4" t="n">
        <v>0.848013</v>
      </c>
      <c r="F182" s="4" t="n">
        <v>4695053.18</v>
      </c>
      <c r="G182" s="4" t="n">
        <v>763571.28</v>
      </c>
      <c r="H182" s="4" t="n">
        <v>0.045504</v>
      </c>
    </row>
    <row r="183" customFormat="false" ht="15" hidden="false" customHeight="false" outlineLevel="0" collapsed="false">
      <c r="A183" s="4" t="s">
        <v>56</v>
      </c>
      <c r="B183" s="4" t="s">
        <v>90</v>
      </c>
      <c r="C183" s="4" t="n">
        <v>57800</v>
      </c>
      <c r="D183" s="4" t="n">
        <v>47641</v>
      </c>
      <c r="E183" s="4" t="n">
        <v>0.824239</v>
      </c>
      <c r="F183" s="4" t="n">
        <v>20020505.92</v>
      </c>
      <c r="G183" s="4" t="n">
        <v>3688339.85</v>
      </c>
      <c r="H183" s="4" t="n">
        <v>0.192094</v>
      </c>
    </row>
    <row r="184" customFormat="false" ht="15" hidden="false" customHeight="false" outlineLevel="0" collapsed="false">
      <c r="A184" s="4" t="s">
        <v>56</v>
      </c>
      <c r="B184" s="4" t="s">
        <v>91</v>
      </c>
      <c r="C184" s="4" t="n">
        <v>12978</v>
      </c>
      <c r="D184" s="4" t="n">
        <v>11736</v>
      </c>
      <c r="E184" s="4" t="n">
        <v>0.9043</v>
      </c>
      <c r="F184" s="4" t="n">
        <v>4618940.2</v>
      </c>
      <c r="G184" s="4" t="n">
        <v>459386.63</v>
      </c>
      <c r="H184" s="4" t="n">
        <v>0.043131</v>
      </c>
    </row>
    <row r="185" customFormat="false" ht="15" hidden="false" customHeight="false" outlineLevel="0" collapsed="false">
      <c r="A185" s="4" t="s">
        <v>56</v>
      </c>
      <c r="B185" s="4" t="s">
        <v>92</v>
      </c>
      <c r="C185" s="4" t="n">
        <v>11418</v>
      </c>
      <c r="D185" s="4" t="n">
        <v>10758</v>
      </c>
      <c r="E185" s="4" t="n">
        <v>0.942197</v>
      </c>
      <c r="F185" s="4" t="n">
        <v>3933630.06</v>
      </c>
      <c r="G185" s="4" t="n">
        <v>243720.31</v>
      </c>
      <c r="H185" s="4" t="n">
        <v>0.037947</v>
      </c>
    </row>
    <row r="186" customFormat="false" ht="15" hidden="false" customHeight="false" outlineLevel="0" collapsed="false">
      <c r="A186" s="4" t="s">
        <v>57</v>
      </c>
      <c r="B186" s="4" t="s">
        <v>79</v>
      </c>
      <c r="C186" s="4" t="n">
        <v>7425</v>
      </c>
      <c r="D186" s="4" t="n">
        <v>6902</v>
      </c>
      <c r="E186" s="4" t="n">
        <v>0.929562</v>
      </c>
      <c r="F186" s="4" t="n">
        <v>2837118.56</v>
      </c>
      <c r="G186" s="4" t="n">
        <v>234270.7</v>
      </c>
      <c r="H186" s="4" t="n">
        <v>0.021863</v>
      </c>
    </row>
    <row r="187" customFormat="false" ht="15" hidden="false" customHeight="false" outlineLevel="0" collapsed="false">
      <c r="A187" s="4" t="s">
        <v>57</v>
      </c>
      <c r="B187" s="4" t="s">
        <v>80</v>
      </c>
      <c r="C187" s="4" t="n">
        <v>31273</v>
      </c>
      <c r="D187" s="4" t="n">
        <v>29611</v>
      </c>
      <c r="E187" s="4" t="n">
        <v>0.946855</v>
      </c>
      <c r="F187" s="4" t="n">
        <v>10888476.93</v>
      </c>
      <c r="G187" s="4" t="n">
        <v>600614.15</v>
      </c>
      <c r="H187" s="4" t="n">
        <v>0.092083</v>
      </c>
    </row>
    <row r="188" customFormat="false" ht="15" hidden="false" customHeight="false" outlineLevel="0" collapsed="false">
      <c r="A188" s="4" t="s">
        <v>57</v>
      </c>
      <c r="B188" s="4" t="s">
        <v>81</v>
      </c>
      <c r="C188" s="4" t="n">
        <v>19569</v>
      </c>
      <c r="D188" s="4" t="n">
        <v>17852</v>
      </c>
      <c r="E188" s="4" t="n">
        <v>0.912259</v>
      </c>
      <c r="F188" s="4" t="n">
        <v>7164842.48</v>
      </c>
      <c r="G188" s="4" t="n">
        <v>665113.88</v>
      </c>
      <c r="H188" s="4" t="n">
        <v>0.05762</v>
      </c>
    </row>
    <row r="189" customFormat="false" ht="15" hidden="false" customHeight="false" outlineLevel="0" collapsed="false">
      <c r="A189" s="4" t="s">
        <v>57</v>
      </c>
      <c r="B189" s="4" t="s">
        <v>82</v>
      </c>
      <c r="C189" s="4" t="n">
        <v>16344</v>
      </c>
      <c r="D189" s="4" t="n">
        <v>14797</v>
      </c>
      <c r="E189" s="4" t="n">
        <v>0.905348</v>
      </c>
      <c r="F189" s="4" t="n">
        <v>5869354.78</v>
      </c>
      <c r="G189" s="4" t="n">
        <v>556892.5</v>
      </c>
      <c r="H189" s="4" t="n">
        <v>0.048125</v>
      </c>
    </row>
    <row r="190" customFormat="false" ht="15" hidden="false" customHeight="false" outlineLevel="0" collapsed="false">
      <c r="A190" s="4" t="s">
        <v>57</v>
      </c>
      <c r="B190" s="4" t="s">
        <v>83</v>
      </c>
      <c r="C190" s="4" t="n">
        <v>51729</v>
      </c>
      <c r="D190" s="4" t="n">
        <v>49635</v>
      </c>
      <c r="E190" s="4" t="n">
        <v>0.95952</v>
      </c>
      <c r="F190" s="4" t="n">
        <v>17995073.61</v>
      </c>
      <c r="G190" s="4" t="n">
        <v>790791.37</v>
      </c>
      <c r="H190" s="4" t="n">
        <v>0.152315</v>
      </c>
    </row>
    <row r="191" customFormat="false" ht="15" hidden="false" customHeight="false" outlineLevel="0" collapsed="false">
      <c r="A191" s="4" t="s">
        <v>57</v>
      </c>
      <c r="B191" s="4" t="s">
        <v>84</v>
      </c>
      <c r="C191" s="4" t="n">
        <v>39102</v>
      </c>
      <c r="D191" s="4" t="n">
        <v>37414</v>
      </c>
      <c r="E191" s="4" t="n">
        <v>0.956831</v>
      </c>
      <c r="F191" s="4" t="n">
        <v>13657738.11</v>
      </c>
      <c r="G191" s="4" t="n">
        <v>676094.41</v>
      </c>
      <c r="H191" s="4" t="n">
        <v>0.115135</v>
      </c>
    </row>
    <row r="192" customFormat="false" ht="15" hidden="false" customHeight="false" outlineLevel="0" collapsed="false">
      <c r="A192" s="4" t="s">
        <v>57</v>
      </c>
      <c r="B192" s="4" t="s">
        <v>85</v>
      </c>
      <c r="C192" s="4" t="n">
        <v>10230</v>
      </c>
      <c r="D192" s="4" t="n">
        <v>9699</v>
      </c>
      <c r="E192" s="4" t="n">
        <v>0.948094</v>
      </c>
      <c r="F192" s="4" t="n">
        <v>3527857.55</v>
      </c>
      <c r="G192" s="4" t="n">
        <v>227282.31</v>
      </c>
      <c r="H192" s="4" t="n">
        <v>0.030122</v>
      </c>
    </row>
    <row r="193" customFormat="false" ht="15" hidden="false" customHeight="false" outlineLevel="0" collapsed="false">
      <c r="A193" s="4" t="s">
        <v>57</v>
      </c>
      <c r="B193" s="4" t="s">
        <v>86</v>
      </c>
      <c r="C193" s="4" t="n">
        <v>20429</v>
      </c>
      <c r="D193" s="4" t="n">
        <v>19514</v>
      </c>
      <c r="E193" s="4" t="n">
        <v>0.955211</v>
      </c>
      <c r="F193" s="4" t="n">
        <v>7016177.15</v>
      </c>
      <c r="G193" s="4" t="n">
        <v>342228.16</v>
      </c>
      <c r="H193" s="4" t="n">
        <v>0.060153</v>
      </c>
    </row>
    <row r="194" customFormat="false" ht="15" hidden="false" customHeight="false" outlineLevel="0" collapsed="false">
      <c r="A194" s="4" t="s">
        <v>57</v>
      </c>
      <c r="B194" s="4" t="s">
        <v>87</v>
      </c>
      <c r="C194" s="4" t="n">
        <v>9256</v>
      </c>
      <c r="D194" s="4" t="n">
        <v>8645</v>
      </c>
      <c r="E194" s="4" t="n">
        <v>0.933989</v>
      </c>
      <c r="F194" s="4" t="n">
        <v>3333000.08</v>
      </c>
      <c r="G194" s="4" t="n">
        <v>243911.59</v>
      </c>
      <c r="H194" s="4" t="n">
        <v>0.027254</v>
      </c>
    </row>
    <row r="195" customFormat="false" ht="15" hidden="false" customHeight="false" outlineLevel="0" collapsed="false">
      <c r="A195" s="4" t="s">
        <v>57</v>
      </c>
      <c r="B195" s="4" t="s">
        <v>88</v>
      </c>
      <c r="C195" s="4" t="n">
        <v>26305</v>
      </c>
      <c r="D195" s="4" t="n">
        <v>23822</v>
      </c>
      <c r="E195" s="4" t="n">
        <v>0.905607</v>
      </c>
      <c r="F195" s="4" t="n">
        <v>9585223.19</v>
      </c>
      <c r="G195" s="4" t="n">
        <v>995332.98</v>
      </c>
      <c r="H195" s="4" t="n">
        <v>0.077454</v>
      </c>
    </row>
    <row r="196" customFormat="false" ht="15" hidden="false" customHeight="false" outlineLevel="0" collapsed="false">
      <c r="A196" s="4" t="s">
        <v>57</v>
      </c>
      <c r="B196" s="4" t="s">
        <v>89</v>
      </c>
      <c r="C196" s="4" t="n">
        <v>15271</v>
      </c>
      <c r="D196" s="4" t="n">
        <v>12909</v>
      </c>
      <c r="E196" s="4" t="n">
        <v>0.845328</v>
      </c>
      <c r="F196" s="4" t="n">
        <v>5255810.87</v>
      </c>
      <c r="G196" s="4" t="n">
        <v>855061.83</v>
      </c>
      <c r="H196" s="4" t="n">
        <v>0.044965</v>
      </c>
    </row>
    <row r="197" customFormat="false" ht="15" hidden="false" customHeight="false" outlineLevel="0" collapsed="false">
      <c r="A197" s="4" t="s">
        <v>57</v>
      </c>
      <c r="B197" s="4" t="s">
        <v>90</v>
      </c>
      <c r="C197" s="4" t="n">
        <v>65028</v>
      </c>
      <c r="D197" s="4" t="n">
        <v>47579</v>
      </c>
      <c r="E197" s="4" t="n">
        <v>0.731669</v>
      </c>
      <c r="F197" s="4" t="n">
        <v>22390678.75</v>
      </c>
      <c r="G197" s="4" t="n">
        <v>6104054.86</v>
      </c>
      <c r="H197" s="4" t="n">
        <v>0.191473</v>
      </c>
    </row>
    <row r="198" customFormat="false" ht="15" hidden="false" customHeight="false" outlineLevel="0" collapsed="false">
      <c r="A198" s="4" t="s">
        <v>57</v>
      </c>
      <c r="B198" s="4" t="s">
        <v>91</v>
      </c>
      <c r="C198" s="4" t="n">
        <v>14842</v>
      </c>
      <c r="D198" s="4" t="n">
        <v>13386</v>
      </c>
      <c r="E198" s="4" t="n">
        <v>0.9019</v>
      </c>
      <c r="F198" s="4" t="n">
        <v>5152605.4</v>
      </c>
      <c r="G198" s="4" t="n">
        <v>524996.68</v>
      </c>
      <c r="H198" s="4" t="n">
        <v>0.043702</v>
      </c>
    </row>
    <row r="199" customFormat="false" ht="15" hidden="false" customHeight="false" outlineLevel="0" collapsed="false">
      <c r="A199" s="4" t="s">
        <v>57</v>
      </c>
      <c r="B199" s="4" t="s">
        <v>92</v>
      </c>
      <c r="C199" s="4" t="n">
        <v>12816</v>
      </c>
      <c r="D199" s="4" t="n">
        <v>12030</v>
      </c>
      <c r="E199" s="4" t="n">
        <v>0.93867</v>
      </c>
      <c r="F199" s="4" t="n">
        <v>4339194.12</v>
      </c>
      <c r="G199" s="4" t="n">
        <v>276595.38</v>
      </c>
      <c r="H199" s="4" t="n">
        <v>0.037736</v>
      </c>
    </row>
    <row r="200" customFormat="false" ht="15" hidden="false" customHeight="false" outlineLevel="0" collapsed="false">
      <c r="A200" s="4" t="s">
        <v>58</v>
      </c>
      <c r="B200" s="4" t="s">
        <v>79</v>
      </c>
      <c r="C200" s="4" t="n">
        <v>8776</v>
      </c>
      <c r="D200" s="4" t="n">
        <v>8203</v>
      </c>
      <c r="E200" s="4" t="n">
        <v>0.934708</v>
      </c>
      <c r="F200" s="4" t="n">
        <v>3156046.45</v>
      </c>
      <c r="G200" s="4" t="n">
        <v>250683.61</v>
      </c>
      <c r="H200" s="4" t="n">
        <v>0.021334</v>
      </c>
    </row>
    <row r="201" customFormat="false" ht="15" hidden="false" customHeight="false" outlineLevel="0" collapsed="false">
      <c r="A201" s="4" t="s">
        <v>58</v>
      </c>
      <c r="B201" s="4" t="s">
        <v>80</v>
      </c>
      <c r="C201" s="4" t="n">
        <v>38063</v>
      </c>
      <c r="D201" s="4" t="n">
        <v>35987</v>
      </c>
      <c r="E201" s="4" t="n">
        <v>0.945459</v>
      </c>
      <c r="F201" s="4" t="n">
        <v>12923402.35</v>
      </c>
      <c r="G201" s="4" t="n">
        <v>828187.37</v>
      </c>
      <c r="H201" s="4" t="n">
        <v>0.092529</v>
      </c>
    </row>
    <row r="202" customFormat="false" ht="15" hidden="false" customHeight="false" outlineLevel="0" collapsed="false">
      <c r="A202" s="4" t="s">
        <v>58</v>
      </c>
      <c r="B202" s="4" t="s">
        <v>81</v>
      </c>
      <c r="C202" s="4" t="n">
        <v>23888</v>
      </c>
      <c r="D202" s="4" t="n">
        <v>21614</v>
      </c>
      <c r="E202" s="4" t="n">
        <v>0.904806</v>
      </c>
      <c r="F202" s="4" t="n">
        <v>8603181.2</v>
      </c>
      <c r="G202" s="4" t="n">
        <v>940850.54</v>
      </c>
      <c r="H202" s="4" t="n">
        <v>0.058071</v>
      </c>
    </row>
    <row r="203" customFormat="false" ht="15" hidden="false" customHeight="false" outlineLevel="0" collapsed="false">
      <c r="A203" s="4" t="s">
        <v>58</v>
      </c>
      <c r="B203" s="4" t="s">
        <v>82</v>
      </c>
      <c r="C203" s="4" t="n">
        <v>20285</v>
      </c>
      <c r="D203" s="4" t="n">
        <v>18441</v>
      </c>
      <c r="E203" s="4" t="n">
        <v>0.909095</v>
      </c>
      <c r="F203" s="4" t="n">
        <v>7210649.74</v>
      </c>
      <c r="G203" s="4" t="n">
        <v>728739.25</v>
      </c>
      <c r="H203" s="4" t="n">
        <v>0.049312</v>
      </c>
    </row>
    <row r="204" customFormat="false" ht="15" hidden="false" customHeight="false" outlineLevel="0" collapsed="false">
      <c r="A204" s="4" t="s">
        <v>58</v>
      </c>
      <c r="B204" s="4" t="s">
        <v>83</v>
      </c>
      <c r="C204" s="4" t="n">
        <v>62434</v>
      </c>
      <c r="D204" s="4" t="n">
        <v>59909</v>
      </c>
      <c r="E204" s="4" t="n">
        <v>0.959557</v>
      </c>
      <c r="F204" s="4" t="n">
        <v>21465850.7</v>
      </c>
      <c r="G204" s="4" t="n">
        <v>981959.66</v>
      </c>
      <c r="H204" s="4" t="n">
        <v>0.151774</v>
      </c>
    </row>
    <row r="205" customFormat="false" ht="15" hidden="false" customHeight="false" outlineLevel="0" collapsed="false">
      <c r="A205" s="4" t="s">
        <v>58</v>
      </c>
      <c r="B205" s="4" t="s">
        <v>84</v>
      </c>
      <c r="C205" s="4" t="n">
        <v>48069</v>
      </c>
      <c r="D205" s="4" t="n">
        <v>45876</v>
      </c>
      <c r="E205" s="4" t="n">
        <v>0.954378</v>
      </c>
      <c r="F205" s="4" t="n">
        <v>16799973.65</v>
      </c>
      <c r="G205" s="4" t="n">
        <v>929788.56</v>
      </c>
      <c r="H205" s="4" t="n">
        <v>0.116854</v>
      </c>
    </row>
    <row r="206" customFormat="false" ht="15" hidden="false" customHeight="false" outlineLevel="0" collapsed="false">
      <c r="A206" s="4" t="s">
        <v>58</v>
      </c>
      <c r="B206" s="4" t="s">
        <v>85</v>
      </c>
      <c r="C206" s="4" t="n">
        <v>12403</v>
      </c>
      <c r="D206" s="4" t="n">
        <v>11768</v>
      </c>
      <c r="E206" s="4" t="n">
        <v>0.948803</v>
      </c>
      <c r="F206" s="4" t="n">
        <v>4401494.06</v>
      </c>
      <c r="G206" s="4" t="n">
        <v>249063.02</v>
      </c>
      <c r="H206" s="4" t="n">
        <v>0.030151</v>
      </c>
    </row>
    <row r="207" customFormat="false" ht="15" hidden="false" customHeight="false" outlineLevel="0" collapsed="false">
      <c r="A207" s="4" t="s">
        <v>58</v>
      </c>
      <c r="B207" s="4" t="s">
        <v>86</v>
      </c>
      <c r="C207" s="4" t="n">
        <v>24905</v>
      </c>
      <c r="D207" s="4" t="n">
        <v>23755</v>
      </c>
      <c r="E207" s="4" t="n">
        <v>0.953825</v>
      </c>
      <c r="F207" s="4" t="n">
        <v>8677594.16</v>
      </c>
      <c r="G207" s="4" t="n">
        <v>464983.84</v>
      </c>
      <c r="H207" s="4" t="n">
        <v>0.060543</v>
      </c>
    </row>
    <row r="208" customFormat="false" ht="15" hidden="false" customHeight="false" outlineLevel="0" collapsed="false">
      <c r="A208" s="4" t="s">
        <v>58</v>
      </c>
      <c r="B208" s="4" t="s">
        <v>87</v>
      </c>
      <c r="C208" s="4" t="n">
        <v>11060</v>
      </c>
      <c r="D208" s="4" t="n">
        <v>10357</v>
      </c>
      <c r="E208" s="4" t="n">
        <v>0.936438</v>
      </c>
      <c r="F208" s="4" t="n">
        <v>3991446.23</v>
      </c>
      <c r="G208" s="4" t="n">
        <v>257166.66</v>
      </c>
      <c r="H208" s="4" t="n">
        <v>0.026886</v>
      </c>
    </row>
    <row r="209" customFormat="false" ht="15" hidden="false" customHeight="false" outlineLevel="0" collapsed="false">
      <c r="A209" s="4" t="s">
        <v>58</v>
      </c>
      <c r="B209" s="4" t="s">
        <v>88</v>
      </c>
      <c r="C209" s="4" t="n">
        <v>30916</v>
      </c>
      <c r="D209" s="4" t="n">
        <v>28093</v>
      </c>
      <c r="E209" s="4" t="n">
        <v>0.908688</v>
      </c>
      <c r="F209" s="4" t="n">
        <v>10977631.6</v>
      </c>
      <c r="G209" s="4" t="n">
        <v>1102206.03</v>
      </c>
      <c r="H209" s="4" t="n">
        <v>0.075155</v>
      </c>
    </row>
    <row r="210" customFormat="false" ht="15" hidden="false" customHeight="false" outlineLevel="0" collapsed="false">
      <c r="A210" s="4" t="s">
        <v>58</v>
      </c>
      <c r="B210" s="4" t="s">
        <v>89</v>
      </c>
      <c r="C210" s="4" t="n">
        <v>18658</v>
      </c>
      <c r="D210" s="4" t="n">
        <v>15545</v>
      </c>
      <c r="E210" s="4" t="n">
        <v>0.833155</v>
      </c>
      <c r="F210" s="4" t="n">
        <v>6363084.36</v>
      </c>
      <c r="G210" s="4" t="n">
        <v>1077760.96</v>
      </c>
      <c r="H210" s="4" t="n">
        <v>0.045357</v>
      </c>
    </row>
    <row r="211" customFormat="false" ht="15" hidden="false" customHeight="false" outlineLevel="0" collapsed="false">
      <c r="A211" s="4" t="s">
        <v>58</v>
      </c>
      <c r="B211" s="4" t="s">
        <v>90</v>
      </c>
      <c r="C211" s="4" t="n">
        <v>77878</v>
      </c>
      <c r="D211" s="4" t="n">
        <v>57082</v>
      </c>
      <c r="E211" s="4" t="n">
        <v>0.732967</v>
      </c>
      <c r="F211" s="4" t="n">
        <v>26825607.1</v>
      </c>
      <c r="G211" s="4" t="n">
        <v>7353281.26</v>
      </c>
      <c r="H211" s="4" t="n">
        <v>0.189318</v>
      </c>
    </row>
    <row r="212" customFormat="false" ht="15" hidden="false" customHeight="false" outlineLevel="0" collapsed="false">
      <c r="A212" s="4" t="s">
        <v>58</v>
      </c>
      <c r="B212" s="4" t="s">
        <v>91</v>
      </c>
      <c r="C212" s="4" t="n">
        <v>18288</v>
      </c>
      <c r="D212" s="4" t="n">
        <v>16416</v>
      </c>
      <c r="E212" s="4" t="n">
        <v>0.897638</v>
      </c>
      <c r="F212" s="4" t="n">
        <v>6267162.68</v>
      </c>
      <c r="G212" s="4" t="n">
        <v>751753.97</v>
      </c>
      <c r="H212" s="4" t="n">
        <v>0.044457</v>
      </c>
    </row>
    <row r="213" customFormat="false" ht="15" hidden="false" customHeight="false" outlineLevel="0" collapsed="false">
      <c r="A213" s="4" t="s">
        <v>58</v>
      </c>
      <c r="B213" s="4" t="s">
        <v>92</v>
      </c>
      <c r="C213" s="4" t="n">
        <v>15738</v>
      </c>
      <c r="D213" s="4" t="n">
        <v>14790</v>
      </c>
      <c r="E213" s="4" t="n">
        <v>0.939764</v>
      </c>
      <c r="F213" s="4" t="n">
        <v>5342724.26</v>
      </c>
      <c r="G213" s="4" t="n">
        <v>370267.17</v>
      </c>
      <c r="H213" s="4" t="n">
        <v>0.038258</v>
      </c>
    </row>
    <row r="214" customFormat="false" ht="15" hidden="false" customHeight="false" outlineLevel="0" collapsed="false">
      <c r="A214" s="4" t="s">
        <v>59</v>
      </c>
      <c r="B214" s="4" t="s">
        <v>79</v>
      </c>
      <c r="C214" s="4" t="n">
        <v>8604</v>
      </c>
      <c r="D214" s="4" t="n">
        <v>8028</v>
      </c>
      <c r="E214" s="4" t="n">
        <v>0.933054</v>
      </c>
      <c r="F214" s="4" t="n">
        <v>3034826.49</v>
      </c>
      <c r="G214" s="4" t="n">
        <v>223064.38</v>
      </c>
      <c r="H214" s="4" t="n">
        <v>0.021657</v>
      </c>
    </row>
    <row r="215" customFormat="false" ht="15" hidden="false" customHeight="false" outlineLevel="0" collapsed="false">
      <c r="A215" s="4" t="s">
        <v>59</v>
      </c>
      <c r="B215" s="4" t="s">
        <v>80</v>
      </c>
      <c r="C215" s="4" t="n">
        <v>36588</v>
      </c>
      <c r="D215" s="4" t="n">
        <v>34584</v>
      </c>
      <c r="E215" s="4" t="n">
        <v>0.945228</v>
      </c>
      <c r="F215" s="4" t="n">
        <v>12760018.04</v>
      </c>
      <c r="G215" s="4" t="n">
        <v>784149.06</v>
      </c>
      <c r="H215" s="4" t="n">
        <v>0.092097</v>
      </c>
    </row>
    <row r="216" customFormat="false" ht="15" hidden="false" customHeight="false" outlineLevel="0" collapsed="false">
      <c r="A216" s="4" t="s">
        <v>59</v>
      </c>
      <c r="B216" s="4" t="s">
        <v>81</v>
      </c>
      <c r="C216" s="4" t="n">
        <v>23107</v>
      </c>
      <c r="D216" s="4" t="n">
        <v>20983</v>
      </c>
      <c r="E216" s="4" t="n">
        <v>0.90808</v>
      </c>
      <c r="F216" s="4" t="n">
        <v>8503609.31</v>
      </c>
      <c r="G216" s="4" t="n">
        <v>819566.66</v>
      </c>
      <c r="H216" s="4" t="n">
        <v>0.058164</v>
      </c>
    </row>
    <row r="217" customFormat="false" ht="15" hidden="false" customHeight="false" outlineLevel="0" collapsed="false">
      <c r="A217" s="4" t="s">
        <v>59</v>
      </c>
      <c r="B217" s="4" t="s">
        <v>82</v>
      </c>
      <c r="C217" s="4" t="n">
        <v>18761</v>
      </c>
      <c r="D217" s="4" t="n">
        <v>17007</v>
      </c>
      <c r="E217" s="4" t="n">
        <v>0.906508</v>
      </c>
      <c r="F217" s="4" t="n">
        <v>6655932.73</v>
      </c>
      <c r="G217" s="4" t="n">
        <v>664885.11</v>
      </c>
      <c r="H217" s="4" t="n">
        <v>0.047224</v>
      </c>
    </row>
    <row r="218" customFormat="false" ht="15" hidden="false" customHeight="false" outlineLevel="0" collapsed="false">
      <c r="A218" s="4" t="s">
        <v>59</v>
      </c>
      <c r="B218" s="4" t="s">
        <v>83</v>
      </c>
      <c r="C218" s="4" t="n">
        <v>60923</v>
      </c>
      <c r="D218" s="4" t="n">
        <v>58459</v>
      </c>
      <c r="E218" s="4" t="n">
        <v>0.959556</v>
      </c>
      <c r="F218" s="4" t="n">
        <v>21268176.47</v>
      </c>
      <c r="G218" s="4" t="n">
        <v>986234.56</v>
      </c>
      <c r="H218" s="4" t="n">
        <v>0.153352</v>
      </c>
    </row>
    <row r="219" customFormat="false" ht="15" hidden="false" customHeight="false" outlineLevel="0" collapsed="false">
      <c r="A219" s="4" t="s">
        <v>59</v>
      </c>
      <c r="B219" s="4" t="s">
        <v>84</v>
      </c>
      <c r="C219" s="4" t="n">
        <v>46359</v>
      </c>
      <c r="D219" s="4" t="n">
        <v>44218</v>
      </c>
      <c r="E219" s="4" t="n">
        <v>0.953817</v>
      </c>
      <c r="F219" s="4" t="n">
        <v>16208947.1</v>
      </c>
      <c r="G219" s="4" t="n">
        <v>940222.19</v>
      </c>
      <c r="H219" s="4" t="n">
        <v>0.116692</v>
      </c>
    </row>
    <row r="220" customFormat="false" ht="15" hidden="false" customHeight="false" outlineLevel="0" collapsed="false">
      <c r="A220" s="4" t="s">
        <v>59</v>
      </c>
      <c r="B220" s="4" t="s">
        <v>85</v>
      </c>
      <c r="C220" s="4" t="n">
        <v>12340</v>
      </c>
      <c r="D220" s="4" t="n">
        <v>11666</v>
      </c>
      <c r="E220" s="4" t="n">
        <v>0.945381</v>
      </c>
      <c r="F220" s="4" t="n">
        <v>4419271.78</v>
      </c>
      <c r="G220" s="4" t="n">
        <v>240992.48</v>
      </c>
      <c r="H220" s="4" t="n">
        <v>0.031062</v>
      </c>
    </row>
    <row r="221" customFormat="false" ht="15" hidden="false" customHeight="false" outlineLevel="0" collapsed="false">
      <c r="A221" s="4" t="s">
        <v>59</v>
      </c>
      <c r="B221" s="4" t="s">
        <v>86</v>
      </c>
      <c r="C221" s="4" t="n">
        <v>23719</v>
      </c>
      <c r="D221" s="4" t="n">
        <v>22588</v>
      </c>
      <c r="E221" s="4" t="n">
        <v>0.952317</v>
      </c>
      <c r="F221" s="4" t="n">
        <v>8172335.15</v>
      </c>
      <c r="G221" s="4" t="n">
        <v>415001.27</v>
      </c>
      <c r="H221" s="4" t="n">
        <v>0.059704</v>
      </c>
    </row>
    <row r="222" customFormat="false" ht="15" hidden="false" customHeight="false" outlineLevel="0" collapsed="false">
      <c r="A222" s="4" t="s">
        <v>59</v>
      </c>
      <c r="B222" s="4" t="s">
        <v>87</v>
      </c>
      <c r="C222" s="4" t="n">
        <v>10859</v>
      </c>
      <c r="D222" s="4" t="n">
        <v>10168</v>
      </c>
      <c r="E222" s="4" t="n">
        <v>0.936366</v>
      </c>
      <c r="F222" s="4" t="n">
        <v>3728546.02</v>
      </c>
      <c r="G222" s="4" t="n">
        <v>258582.61</v>
      </c>
      <c r="H222" s="4" t="n">
        <v>0.027334</v>
      </c>
    </row>
    <row r="223" customFormat="false" ht="15" hidden="false" customHeight="false" outlineLevel="0" collapsed="false">
      <c r="A223" s="4" t="s">
        <v>59</v>
      </c>
      <c r="B223" s="4" t="s">
        <v>88</v>
      </c>
      <c r="C223" s="4" t="n">
        <v>30235</v>
      </c>
      <c r="D223" s="4" t="n">
        <v>27332</v>
      </c>
      <c r="E223" s="4" t="n">
        <v>0.903985</v>
      </c>
      <c r="F223" s="4" t="n">
        <v>10965863.71</v>
      </c>
      <c r="G223" s="4" t="n">
        <v>1084741.7</v>
      </c>
      <c r="H223" s="4" t="n">
        <v>0.076106</v>
      </c>
    </row>
    <row r="224" customFormat="false" ht="15" hidden="false" customHeight="false" outlineLevel="0" collapsed="false">
      <c r="A224" s="4" t="s">
        <v>59</v>
      </c>
      <c r="B224" s="4" t="s">
        <v>89</v>
      </c>
      <c r="C224" s="4" t="n">
        <v>18203</v>
      </c>
      <c r="D224" s="4" t="n">
        <v>15197</v>
      </c>
      <c r="E224" s="4" t="n">
        <v>0.834862</v>
      </c>
      <c r="F224" s="4" t="n">
        <v>6313561.49</v>
      </c>
      <c r="G224" s="4" t="n">
        <v>1063263.43</v>
      </c>
      <c r="H224" s="4" t="n">
        <v>0.04582</v>
      </c>
    </row>
    <row r="225" customFormat="false" ht="15" hidden="false" customHeight="false" outlineLevel="0" collapsed="false">
      <c r="A225" s="4" t="s">
        <v>59</v>
      </c>
      <c r="B225" s="4" t="s">
        <v>90</v>
      </c>
      <c r="C225" s="4" t="n">
        <v>74890</v>
      </c>
      <c r="D225" s="4" t="n">
        <v>54938</v>
      </c>
      <c r="E225" s="4" t="n">
        <v>0.733583</v>
      </c>
      <c r="F225" s="4" t="n">
        <v>25905330.31</v>
      </c>
      <c r="G225" s="4" t="n">
        <v>7192034.4</v>
      </c>
      <c r="H225" s="4" t="n">
        <v>0.188509</v>
      </c>
    </row>
    <row r="226" customFormat="false" ht="15" hidden="false" customHeight="false" outlineLevel="0" collapsed="false">
      <c r="A226" s="4" t="s">
        <v>59</v>
      </c>
      <c r="B226" s="4" t="s">
        <v>91</v>
      </c>
      <c r="C226" s="4" t="n">
        <v>17667</v>
      </c>
      <c r="D226" s="4" t="n">
        <v>15849</v>
      </c>
      <c r="E226" s="4" t="n">
        <v>0.897096</v>
      </c>
      <c r="F226" s="4" t="n">
        <v>5999668.42</v>
      </c>
      <c r="G226" s="4" t="n">
        <v>648974.2</v>
      </c>
      <c r="H226" s="4" t="n">
        <v>0.04447</v>
      </c>
    </row>
    <row r="227" customFormat="false" ht="15" hidden="false" customHeight="false" outlineLevel="0" collapsed="false">
      <c r="A227" s="4" t="s">
        <v>59</v>
      </c>
      <c r="B227" s="4" t="s">
        <v>92</v>
      </c>
      <c r="C227" s="4" t="n">
        <v>15021</v>
      </c>
      <c r="D227" s="4" t="n">
        <v>14075</v>
      </c>
      <c r="E227" s="4" t="n">
        <v>0.937022</v>
      </c>
      <c r="F227" s="4" t="n">
        <v>5094820.77</v>
      </c>
      <c r="G227" s="4" t="n">
        <v>353767.56</v>
      </c>
      <c r="H227" s="4" t="n">
        <v>0.03781</v>
      </c>
    </row>
    <row r="228" customFormat="false" ht="15" hidden="false" customHeight="false" outlineLevel="0" collapsed="false">
      <c r="A228" s="4" t="s">
        <v>60</v>
      </c>
      <c r="B228" s="4" t="s">
        <v>79</v>
      </c>
      <c r="C228" s="4" t="n">
        <v>7881</v>
      </c>
      <c r="D228" s="4" t="n">
        <v>7312</v>
      </c>
      <c r="E228" s="4" t="n">
        <v>0.927801</v>
      </c>
      <c r="F228" s="4" t="n">
        <v>2817613.57</v>
      </c>
      <c r="G228" s="4" t="n">
        <v>211986.19</v>
      </c>
      <c r="H228" s="4" t="n">
        <v>0.021917</v>
      </c>
    </row>
    <row r="229" customFormat="false" ht="15" hidden="false" customHeight="false" outlineLevel="0" collapsed="false">
      <c r="A229" s="4" t="s">
        <v>60</v>
      </c>
      <c r="B229" s="4" t="s">
        <v>80</v>
      </c>
      <c r="C229" s="4" t="n">
        <v>33246</v>
      </c>
      <c r="D229" s="4" t="n">
        <v>31425</v>
      </c>
      <c r="E229" s="4" t="n">
        <v>0.945226</v>
      </c>
      <c r="F229" s="4" t="n">
        <v>11521793.43</v>
      </c>
      <c r="G229" s="4" t="n">
        <v>716480.79</v>
      </c>
      <c r="H229" s="4" t="n">
        <v>0.092455</v>
      </c>
    </row>
    <row r="230" customFormat="false" ht="15" hidden="false" customHeight="false" outlineLevel="0" collapsed="false">
      <c r="A230" s="4" t="s">
        <v>60</v>
      </c>
      <c r="B230" s="4" t="s">
        <v>81</v>
      </c>
      <c r="C230" s="4" t="n">
        <v>20660</v>
      </c>
      <c r="D230" s="4" t="n">
        <v>18776</v>
      </c>
      <c r="E230" s="4" t="n">
        <v>0.908809</v>
      </c>
      <c r="F230" s="4" t="n">
        <v>7497234.77</v>
      </c>
      <c r="G230" s="4" t="n">
        <v>666483.22</v>
      </c>
      <c r="H230" s="4" t="n">
        <v>0.057454</v>
      </c>
    </row>
    <row r="231" customFormat="false" ht="15" hidden="false" customHeight="false" outlineLevel="0" collapsed="false">
      <c r="A231" s="4" t="s">
        <v>60</v>
      </c>
      <c r="B231" s="4" t="s">
        <v>82</v>
      </c>
      <c r="C231" s="4" t="n">
        <v>16943</v>
      </c>
      <c r="D231" s="4" t="n">
        <v>15360</v>
      </c>
      <c r="E231" s="4" t="n">
        <v>0.906569</v>
      </c>
      <c r="F231" s="4" t="n">
        <v>6082202.64</v>
      </c>
      <c r="G231" s="4" t="n">
        <v>661247.45</v>
      </c>
      <c r="H231" s="4" t="n">
        <v>0.047117</v>
      </c>
    </row>
    <row r="232" customFormat="false" ht="15" hidden="false" customHeight="false" outlineLevel="0" collapsed="false">
      <c r="A232" s="4" t="s">
        <v>60</v>
      </c>
      <c r="B232" s="4" t="s">
        <v>83</v>
      </c>
      <c r="C232" s="4" t="n">
        <v>55061</v>
      </c>
      <c r="D232" s="4" t="n">
        <v>52786</v>
      </c>
      <c r="E232" s="4" t="n">
        <v>0.958682</v>
      </c>
      <c r="F232" s="4" t="n">
        <v>18945015.3</v>
      </c>
      <c r="G232" s="4" t="n">
        <v>872147.53</v>
      </c>
      <c r="H232" s="4" t="n">
        <v>0.153121</v>
      </c>
    </row>
    <row r="233" customFormat="false" ht="15" hidden="false" customHeight="false" outlineLevel="0" collapsed="false">
      <c r="A233" s="4" t="s">
        <v>60</v>
      </c>
      <c r="B233" s="4" t="s">
        <v>84</v>
      </c>
      <c r="C233" s="4" t="n">
        <v>42164</v>
      </c>
      <c r="D233" s="4" t="n">
        <v>40205</v>
      </c>
      <c r="E233" s="4" t="n">
        <v>0.953539</v>
      </c>
      <c r="F233" s="4" t="n">
        <v>14539151.64</v>
      </c>
      <c r="G233" s="4" t="n">
        <v>759915.21</v>
      </c>
      <c r="H233" s="4" t="n">
        <v>0.117255</v>
      </c>
    </row>
    <row r="234" customFormat="false" ht="15" hidden="false" customHeight="false" outlineLevel="0" collapsed="false">
      <c r="A234" s="4" t="s">
        <v>60</v>
      </c>
      <c r="B234" s="4" t="s">
        <v>85</v>
      </c>
      <c r="C234" s="4" t="n">
        <v>10965</v>
      </c>
      <c r="D234" s="4" t="n">
        <v>10375</v>
      </c>
      <c r="E234" s="4" t="n">
        <v>0.946192</v>
      </c>
      <c r="F234" s="4" t="n">
        <v>3890862.78</v>
      </c>
      <c r="G234" s="4" t="n">
        <v>241715.77</v>
      </c>
      <c r="H234" s="4" t="n">
        <v>0.030493</v>
      </c>
    </row>
    <row r="235" customFormat="false" ht="15" hidden="false" customHeight="false" outlineLevel="0" collapsed="false">
      <c r="A235" s="4" t="s">
        <v>60</v>
      </c>
      <c r="B235" s="4" t="s">
        <v>86</v>
      </c>
      <c r="C235" s="4" t="n">
        <v>21711</v>
      </c>
      <c r="D235" s="4" t="n">
        <v>20624</v>
      </c>
      <c r="E235" s="4" t="n">
        <v>0.949933</v>
      </c>
      <c r="F235" s="4" t="n">
        <v>7525038.95</v>
      </c>
      <c r="G235" s="4" t="n">
        <v>408234.31</v>
      </c>
      <c r="H235" s="4" t="n">
        <v>0.060377</v>
      </c>
    </row>
    <row r="236" customFormat="false" ht="15" hidden="false" customHeight="false" outlineLevel="0" collapsed="false">
      <c r="A236" s="4" t="s">
        <v>60</v>
      </c>
      <c r="B236" s="4" t="s">
        <v>87</v>
      </c>
      <c r="C236" s="4" t="n">
        <v>9525</v>
      </c>
      <c r="D236" s="4" t="n">
        <v>8945</v>
      </c>
      <c r="E236" s="4" t="n">
        <v>0.939108</v>
      </c>
      <c r="F236" s="4" t="n">
        <v>3265181.81</v>
      </c>
      <c r="G236" s="4" t="n">
        <v>220213.16</v>
      </c>
      <c r="H236" s="4" t="n">
        <v>0.026488</v>
      </c>
    </row>
    <row r="237" customFormat="false" ht="15" hidden="false" customHeight="false" outlineLevel="0" collapsed="false">
      <c r="A237" s="4" t="s">
        <v>60</v>
      </c>
      <c r="B237" s="4" t="s">
        <v>88</v>
      </c>
      <c r="C237" s="4" t="n">
        <v>27238</v>
      </c>
      <c r="D237" s="4" t="n">
        <v>24687</v>
      </c>
      <c r="E237" s="4" t="n">
        <v>0.906344</v>
      </c>
      <c r="F237" s="4" t="n">
        <v>9722483.12</v>
      </c>
      <c r="G237" s="4" t="n">
        <v>1009940.28</v>
      </c>
      <c r="H237" s="4" t="n">
        <v>0.075747</v>
      </c>
    </row>
    <row r="238" customFormat="false" ht="15" hidden="false" customHeight="false" outlineLevel="0" collapsed="false">
      <c r="A238" s="4" t="s">
        <v>60</v>
      </c>
      <c r="B238" s="4" t="s">
        <v>89</v>
      </c>
      <c r="C238" s="4" t="n">
        <v>16883</v>
      </c>
      <c r="D238" s="4" t="n">
        <v>14119</v>
      </c>
      <c r="E238" s="4" t="n">
        <v>0.836285</v>
      </c>
      <c r="F238" s="4" t="n">
        <v>5834904.28</v>
      </c>
      <c r="G238" s="4" t="n">
        <v>911110.16</v>
      </c>
      <c r="H238" s="4" t="n">
        <v>0.04695</v>
      </c>
    </row>
    <row r="239" customFormat="false" ht="15" hidden="false" customHeight="false" outlineLevel="0" collapsed="false">
      <c r="A239" s="4" t="s">
        <v>60</v>
      </c>
      <c r="B239" s="4" t="s">
        <v>90</v>
      </c>
      <c r="C239" s="4" t="n">
        <v>67814</v>
      </c>
      <c r="D239" s="4" t="n">
        <v>49842</v>
      </c>
      <c r="E239" s="4" t="n">
        <v>0.734981</v>
      </c>
      <c r="F239" s="4" t="n">
        <v>23096711.47</v>
      </c>
      <c r="G239" s="4" t="n">
        <v>6190076.44</v>
      </c>
      <c r="H239" s="4" t="n">
        <v>0.188586</v>
      </c>
    </row>
    <row r="240" customFormat="false" ht="15" hidden="false" customHeight="false" outlineLevel="0" collapsed="false">
      <c r="A240" s="4" t="s">
        <v>60</v>
      </c>
      <c r="B240" s="4" t="s">
        <v>91</v>
      </c>
      <c r="C240" s="4" t="n">
        <v>16024</v>
      </c>
      <c r="D240" s="4" t="n">
        <v>14453</v>
      </c>
      <c r="E240" s="4" t="n">
        <v>0.90196</v>
      </c>
      <c r="F240" s="4" t="n">
        <v>5301616.19</v>
      </c>
      <c r="G240" s="4" t="n">
        <v>535357.13</v>
      </c>
      <c r="H240" s="4" t="n">
        <v>0.044562</v>
      </c>
    </row>
    <row r="241" customFormat="false" ht="15" hidden="false" customHeight="false" outlineLevel="0" collapsed="false">
      <c r="A241" s="4" t="s">
        <v>60</v>
      </c>
      <c r="B241" s="4" t="s">
        <v>92</v>
      </c>
      <c r="C241" s="4" t="n">
        <v>13477</v>
      </c>
      <c r="D241" s="4" t="n">
        <v>12678</v>
      </c>
      <c r="E241" s="4" t="n">
        <v>0.940714</v>
      </c>
      <c r="F241" s="4" t="n">
        <v>4562247.7</v>
      </c>
      <c r="G241" s="4" t="n">
        <v>290830.05</v>
      </c>
      <c r="H241" s="4" t="n">
        <v>0.037479</v>
      </c>
    </row>
    <row r="242" customFormat="false" ht="15" hidden="false" customHeight="false" outlineLevel="0" collapsed="false">
      <c r="A242" s="4" t="s">
        <v>61</v>
      </c>
      <c r="B242" s="4" t="s">
        <v>79</v>
      </c>
      <c r="C242" s="4" t="n">
        <v>7334</v>
      </c>
      <c r="D242" s="4" t="n">
        <v>6838</v>
      </c>
      <c r="E242" s="4" t="n">
        <v>0.93237</v>
      </c>
      <c r="F242" s="4" t="n">
        <v>2706380.13</v>
      </c>
      <c r="G242" s="4" t="n">
        <v>210498.46</v>
      </c>
      <c r="H242" s="4" t="n">
        <v>0.021917</v>
      </c>
    </row>
    <row r="243" customFormat="false" ht="15" hidden="false" customHeight="false" outlineLevel="0" collapsed="false">
      <c r="A243" s="4" t="s">
        <v>61</v>
      </c>
      <c r="B243" s="4" t="s">
        <v>80</v>
      </c>
      <c r="C243" s="4" t="n">
        <v>31031</v>
      </c>
      <c r="D243" s="4" t="n">
        <v>29370</v>
      </c>
      <c r="E243" s="4" t="n">
        <v>0.946473</v>
      </c>
      <c r="F243" s="4" t="n">
        <v>10969199.78</v>
      </c>
      <c r="G243" s="4" t="n">
        <v>721130.55</v>
      </c>
      <c r="H243" s="4" t="n">
        <v>0.092734</v>
      </c>
    </row>
    <row r="244" customFormat="false" ht="15" hidden="false" customHeight="false" outlineLevel="0" collapsed="false">
      <c r="A244" s="4" t="s">
        <v>61</v>
      </c>
      <c r="B244" s="4" t="s">
        <v>81</v>
      </c>
      <c r="C244" s="4" t="n">
        <v>19322</v>
      </c>
      <c r="D244" s="4" t="n">
        <v>17572</v>
      </c>
      <c r="E244" s="4" t="n">
        <v>0.90943</v>
      </c>
      <c r="F244" s="4" t="n">
        <v>6883693.34</v>
      </c>
      <c r="G244" s="4" t="n">
        <v>676969.54</v>
      </c>
      <c r="H244" s="4" t="n">
        <v>0.057743</v>
      </c>
    </row>
    <row r="245" customFormat="false" ht="15" hidden="false" customHeight="false" outlineLevel="0" collapsed="false">
      <c r="A245" s="4" t="s">
        <v>61</v>
      </c>
      <c r="B245" s="4" t="s">
        <v>82</v>
      </c>
      <c r="C245" s="4" t="n">
        <v>15886</v>
      </c>
      <c r="D245" s="4" t="n">
        <v>14495</v>
      </c>
      <c r="E245" s="4" t="n">
        <v>0.912439</v>
      </c>
      <c r="F245" s="4" t="n">
        <v>5554925.37</v>
      </c>
      <c r="G245" s="4" t="n">
        <v>630061.96</v>
      </c>
      <c r="H245" s="4" t="n">
        <v>0.047474</v>
      </c>
    </row>
    <row r="246" customFormat="false" ht="15" hidden="false" customHeight="false" outlineLevel="0" collapsed="false">
      <c r="A246" s="4" t="s">
        <v>61</v>
      </c>
      <c r="B246" s="4" t="s">
        <v>83</v>
      </c>
      <c r="C246" s="4" t="n">
        <v>51140</v>
      </c>
      <c r="D246" s="4" t="n">
        <v>49021</v>
      </c>
      <c r="E246" s="4" t="n">
        <v>0.958565</v>
      </c>
      <c r="F246" s="4" t="n">
        <v>17806990.71</v>
      </c>
      <c r="G246" s="4" t="n">
        <v>887377.52</v>
      </c>
      <c r="H246" s="4" t="n">
        <v>0.152829</v>
      </c>
    </row>
    <row r="247" customFormat="false" ht="15" hidden="false" customHeight="false" outlineLevel="0" collapsed="false">
      <c r="A247" s="4" t="s">
        <v>61</v>
      </c>
      <c r="B247" s="4" t="s">
        <v>84</v>
      </c>
      <c r="C247" s="4" t="n">
        <v>38996</v>
      </c>
      <c r="D247" s="4" t="n">
        <v>37257</v>
      </c>
      <c r="E247" s="4" t="n">
        <v>0.955406</v>
      </c>
      <c r="F247" s="4" t="n">
        <v>13379445.52</v>
      </c>
      <c r="G247" s="4" t="n">
        <v>691664.95</v>
      </c>
      <c r="H247" s="4" t="n">
        <v>0.116537</v>
      </c>
    </row>
    <row r="248" customFormat="false" ht="15" hidden="false" customHeight="false" outlineLevel="0" collapsed="false">
      <c r="A248" s="4" t="s">
        <v>61</v>
      </c>
      <c r="B248" s="4" t="s">
        <v>85</v>
      </c>
      <c r="C248" s="4" t="n">
        <v>10376</v>
      </c>
      <c r="D248" s="4" t="n">
        <v>9818</v>
      </c>
      <c r="E248" s="4" t="n">
        <v>0.946222</v>
      </c>
      <c r="F248" s="4" t="n">
        <v>3538012.82</v>
      </c>
      <c r="G248" s="4" t="n">
        <v>208506.37</v>
      </c>
      <c r="H248" s="4" t="n">
        <v>0.031008</v>
      </c>
    </row>
    <row r="249" customFormat="false" ht="15" hidden="false" customHeight="false" outlineLevel="0" collapsed="false">
      <c r="A249" s="4" t="s">
        <v>61</v>
      </c>
      <c r="B249" s="4" t="s">
        <v>86</v>
      </c>
      <c r="C249" s="4" t="n">
        <v>20129</v>
      </c>
      <c r="D249" s="4" t="n">
        <v>19155</v>
      </c>
      <c r="E249" s="4" t="n">
        <v>0.951612</v>
      </c>
      <c r="F249" s="4" t="n">
        <v>6987487.41</v>
      </c>
      <c r="G249" s="4" t="n">
        <v>371363.39</v>
      </c>
      <c r="H249" s="4" t="n">
        <v>0.060154</v>
      </c>
    </row>
    <row r="250" customFormat="false" ht="15" hidden="false" customHeight="false" outlineLevel="0" collapsed="false">
      <c r="A250" s="4" t="s">
        <v>61</v>
      </c>
      <c r="B250" s="4" t="s">
        <v>87</v>
      </c>
      <c r="C250" s="4" t="n">
        <v>9040</v>
      </c>
      <c r="D250" s="4" t="n">
        <v>8428</v>
      </c>
      <c r="E250" s="4" t="n">
        <v>0.932301</v>
      </c>
      <c r="F250" s="4" t="n">
        <v>3018545.92</v>
      </c>
      <c r="G250" s="4" t="n">
        <v>223287.59</v>
      </c>
      <c r="H250" s="4" t="n">
        <v>0.027015</v>
      </c>
    </row>
    <row r="251" customFormat="false" ht="15" hidden="false" customHeight="false" outlineLevel="0" collapsed="false">
      <c r="A251" s="4" t="s">
        <v>61</v>
      </c>
      <c r="B251" s="4" t="s">
        <v>88</v>
      </c>
      <c r="C251" s="4" t="n">
        <v>25581</v>
      </c>
      <c r="D251" s="4" t="n">
        <v>23180</v>
      </c>
      <c r="E251" s="4" t="n">
        <v>0.906141</v>
      </c>
      <c r="F251" s="4" t="n">
        <v>9226133.29</v>
      </c>
      <c r="G251" s="4" t="n">
        <v>896601.4</v>
      </c>
      <c r="H251" s="4" t="n">
        <v>0.076447</v>
      </c>
    </row>
    <row r="252" customFormat="false" ht="15" hidden="false" customHeight="false" outlineLevel="0" collapsed="false">
      <c r="A252" s="4" t="s">
        <v>61</v>
      </c>
      <c r="B252" s="4" t="s">
        <v>89</v>
      </c>
      <c r="C252" s="4" t="n">
        <v>15209</v>
      </c>
      <c r="D252" s="4" t="n">
        <v>12663</v>
      </c>
      <c r="E252" s="4" t="n">
        <v>0.832599</v>
      </c>
      <c r="F252" s="4" t="n">
        <v>5311668</v>
      </c>
      <c r="G252" s="4" t="n">
        <v>897548.07</v>
      </c>
      <c r="H252" s="4" t="n">
        <v>0.045451</v>
      </c>
    </row>
    <row r="253" customFormat="false" ht="15" hidden="false" customHeight="false" outlineLevel="0" collapsed="false">
      <c r="A253" s="4" t="s">
        <v>61</v>
      </c>
      <c r="B253" s="4" t="s">
        <v>90</v>
      </c>
      <c r="C253" s="4" t="n">
        <v>63224</v>
      </c>
      <c r="D253" s="4" t="n">
        <v>46559</v>
      </c>
      <c r="E253" s="4" t="n">
        <v>0.736413</v>
      </c>
      <c r="F253" s="4" t="n">
        <v>21511712.5</v>
      </c>
      <c r="G253" s="4" t="n">
        <v>5865401.78</v>
      </c>
      <c r="H253" s="4" t="n">
        <v>0.188941</v>
      </c>
    </row>
    <row r="254" customFormat="false" ht="15" hidden="false" customHeight="false" outlineLevel="0" collapsed="false">
      <c r="A254" s="4" t="s">
        <v>61</v>
      </c>
      <c r="B254" s="4" t="s">
        <v>91</v>
      </c>
      <c r="C254" s="4" t="n">
        <v>14769</v>
      </c>
      <c r="D254" s="4" t="n">
        <v>13303</v>
      </c>
      <c r="E254" s="4" t="n">
        <v>0.900738</v>
      </c>
      <c r="F254" s="4" t="n">
        <v>4899152.93</v>
      </c>
      <c r="G254" s="4" t="n">
        <v>536468.91</v>
      </c>
      <c r="H254" s="4" t="n">
        <v>0.044136</v>
      </c>
    </row>
    <row r="255" customFormat="false" ht="15" hidden="false" customHeight="false" outlineLevel="0" collapsed="false">
      <c r="A255" s="4" t="s">
        <v>61</v>
      </c>
      <c r="B255" s="4" t="s">
        <v>92</v>
      </c>
      <c r="C255" s="4" t="n">
        <v>12586</v>
      </c>
      <c r="D255" s="4" t="n">
        <v>11860</v>
      </c>
      <c r="E255" s="4" t="n">
        <v>0.942317</v>
      </c>
      <c r="F255" s="4" t="n">
        <v>4150369.23</v>
      </c>
      <c r="G255" s="4" t="n">
        <v>278918.87</v>
      </c>
      <c r="H255" s="4" t="n">
        <v>0.037612</v>
      </c>
    </row>
    <row r="256" customFormat="false" ht="15" hidden="false" customHeight="false" outlineLevel="0" collapsed="false">
      <c r="A256" s="4" t="s">
        <v>62</v>
      </c>
      <c r="B256" s="4" t="s">
        <v>79</v>
      </c>
      <c r="C256" s="4" t="n">
        <v>7482</v>
      </c>
      <c r="D256" s="4" t="n">
        <v>6966</v>
      </c>
      <c r="E256" s="4" t="n">
        <v>0.931034</v>
      </c>
      <c r="F256" s="4" t="n">
        <v>2588384.99</v>
      </c>
      <c r="G256" s="4" t="n">
        <v>200437.49</v>
      </c>
      <c r="H256" s="4" t="n">
        <v>0.022476</v>
      </c>
    </row>
    <row r="257" customFormat="false" ht="15" hidden="false" customHeight="false" outlineLevel="0" collapsed="false">
      <c r="A257" s="4" t="s">
        <v>62</v>
      </c>
      <c r="B257" s="4" t="s">
        <v>80</v>
      </c>
      <c r="C257" s="4" t="n">
        <v>30557</v>
      </c>
      <c r="D257" s="4" t="n">
        <v>28900</v>
      </c>
      <c r="E257" s="4" t="n">
        <v>0.945773</v>
      </c>
      <c r="F257" s="4" t="n">
        <v>10312307.2</v>
      </c>
      <c r="G257" s="4" t="n">
        <v>627258.8</v>
      </c>
      <c r="H257" s="4" t="n">
        <v>0.091794</v>
      </c>
    </row>
    <row r="258" customFormat="false" ht="15" hidden="false" customHeight="false" outlineLevel="0" collapsed="false">
      <c r="A258" s="4" t="s">
        <v>62</v>
      </c>
      <c r="B258" s="4" t="s">
        <v>81</v>
      </c>
      <c r="C258" s="4" t="n">
        <v>19002</v>
      </c>
      <c r="D258" s="4" t="n">
        <v>17279</v>
      </c>
      <c r="E258" s="4" t="n">
        <v>0.909325</v>
      </c>
      <c r="F258" s="4" t="n">
        <v>6746290.68</v>
      </c>
      <c r="G258" s="4" t="n">
        <v>667483.19</v>
      </c>
      <c r="H258" s="4" t="n">
        <v>0.057083</v>
      </c>
    </row>
    <row r="259" customFormat="false" ht="15" hidden="false" customHeight="false" outlineLevel="0" collapsed="false">
      <c r="A259" s="4" t="s">
        <v>62</v>
      </c>
      <c r="B259" s="4" t="s">
        <v>82</v>
      </c>
      <c r="C259" s="4" t="n">
        <v>15955</v>
      </c>
      <c r="D259" s="4" t="n">
        <v>14560</v>
      </c>
      <c r="E259" s="4" t="n">
        <v>0.912567</v>
      </c>
      <c r="F259" s="4" t="n">
        <v>5540161.56</v>
      </c>
      <c r="G259" s="4" t="n">
        <v>534373.99</v>
      </c>
      <c r="H259" s="4" t="n">
        <v>0.047929</v>
      </c>
    </row>
    <row r="260" customFormat="false" ht="15" hidden="false" customHeight="false" outlineLevel="0" collapsed="false">
      <c r="A260" s="4" t="s">
        <v>62</v>
      </c>
      <c r="B260" s="4" t="s">
        <v>83</v>
      </c>
      <c r="C260" s="4" t="n">
        <v>51217</v>
      </c>
      <c r="D260" s="4" t="n">
        <v>49079</v>
      </c>
      <c r="E260" s="4" t="n">
        <v>0.958256</v>
      </c>
      <c r="F260" s="4" t="n">
        <v>17705325.74</v>
      </c>
      <c r="G260" s="4" t="n">
        <v>799500.13</v>
      </c>
      <c r="H260" s="4" t="n">
        <v>0.153857</v>
      </c>
    </row>
    <row r="261" customFormat="false" ht="15" hidden="false" customHeight="false" outlineLevel="0" collapsed="false">
      <c r="A261" s="4" t="s">
        <v>62</v>
      </c>
      <c r="B261" s="4" t="s">
        <v>84</v>
      </c>
      <c r="C261" s="4" t="n">
        <v>38786</v>
      </c>
      <c r="D261" s="4" t="n">
        <v>37009</v>
      </c>
      <c r="E261" s="4" t="n">
        <v>0.954184</v>
      </c>
      <c r="F261" s="4" t="n">
        <v>13389148.13</v>
      </c>
      <c r="G261" s="4" t="n">
        <v>728994.42</v>
      </c>
      <c r="H261" s="4" t="n">
        <v>0.116514</v>
      </c>
    </row>
    <row r="262" customFormat="false" ht="15" hidden="false" customHeight="false" outlineLevel="0" collapsed="false">
      <c r="A262" s="4" t="s">
        <v>62</v>
      </c>
      <c r="B262" s="4" t="s">
        <v>85</v>
      </c>
      <c r="C262" s="4" t="n">
        <v>10405</v>
      </c>
      <c r="D262" s="4" t="n">
        <v>9801</v>
      </c>
      <c r="E262" s="4" t="n">
        <v>0.941951</v>
      </c>
      <c r="F262" s="4" t="n">
        <v>3632652.96</v>
      </c>
      <c r="G262" s="4" t="n">
        <v>248975.15</v>
      </c>
      <c r="H262" s="4" t="n">
        <v>0.031257</v>
      </c>
    </row>
    <row r="263" customFormat="false" ht="15" hidden="false" customHeight="false" outlineLevel="0" collapsed="false">
      <c r="A263" s="4" t="s">
        <v>62</v>
      </c>
      <c r="B263" s="4" t="s">
        <v>86</v>
      </c>
      <c r="C263" s="4" t="n">
        <v>20710</v>
      </c>
      <c r="D263" s="4" t="n">
        <v>19716</v>
      </c>
      <c r="E263" s="4" t="n">
        <v>0.952004</v>
      </c>
      <c r="F263" s="4" t="n">
        <v>6984644.32</v>
      </c>
      <c r="G263" s="4" t="n">
        <v>358669.69</v>
      </c>
      <c r="H263" s="4" t="n">
        <v>0.062213</v>
      </c>
    </row>
    <row r="264" customFormat="false" ht="15" hidden="false" customHeight="false" outlineLevel="0" collapsed="false">
      <c r="A264" s="4" t="s">
        <v>62</v>
      </c>
      <c r="B264" s="4" t="s">
        <v>87</v>
      </c>
      <c r="C264" s="4" t="n">
        <v>8990</v>
      </c>
      <c r="D264" s="4" t="n">
        <v>8385</v>
      </c>
      <c r="E264" s="4" t="n">
        <v>0.932703</v>
      </c>
      <c r="F264" s="4" t="n">
        <v>3028712.93</v>
      </c>
      <c r="G264" s="4" t="n">
        <v>220702.33</v>
      </c>
      <c r="H264" s="4" t="n">
        <v>0.027006</v>
      </c>
    </row>
    <row r="265" customFormat="false" ht="15" hidden="false" customHeight="false" outlineLevel="0" collapsed="false">
      <c r="A265" s="4" t="s">
        <v>62</v>
      </c>
      <c r="B265" s="4" t="s">
        <v>88</v>
      </c>
      <c r="C265" s="4" t="n">
        <v>25216</v>
      </c>
      <c r="D265" s="4" t="n">
        <v>22844</v>
      </c>
      <c r="E265" s="4" t="n">
        <v>0.905933</v>
      </c>
      <c r="F265" s="4" t="n">
        <v>9090152.39</v>
      </c>
      <c r="G265" s="4" t="n">
        <v>893461.41</v>
      </c>
      <c r="H265" s="4" t="n">
        <v>0.07575</v>
      </c>
    </row>
    <row r="266" customFormat="false" ht="15" hidden="false" customHeight="false" outlineLevel="0" collapsed="false">
      <c r="A266" s="4" t="s">
        <v>62</v>
      </c>
      <c r="B266" s="4" t="s">
        <v>89</v>
      </c>
      <c r="C266" s="4" t="n">
        <v>15132</v>
      </c>
      <c r="D266" s="4" t="n">
        <v>12576</v>
      </c>
      <c r="E266" s="4" t="n">
        <v>0.831086</v>
      </c>
      <c r="F266" s="4" t="n">
        <v>5276647.74</v>
      </c>
      <c r="G266" s="4" t="n">
        <v>880163.43</v>
      </c>
      <c r="H266" s="4" t="n">
        <v>0.045457</v>
      </c>
    </row>
    <row r="267" customFormat="false" ht="15" hidden="false" customHeight="false" outlineLevel="0" collapsed="false">
      <c r="A267" s="4" t="s">
        <v>62</v>
      </c>
      <c r="B267" s="4" t="s">
        <v>90</v>
      </c>
      <c r="C267" s="4" t="n">
        <v>62126</v>
      </c>
      <c r="D267" s="4" t="n">
        <v>51231</v>
      </c>
      <c r="E267" s="4" t="n">
        <v>0.824631</v>
      </c>
      <c r="F267" s="4" t="n">
        <v>20837344.99</v>
      </c>
      <c r="G267" s="4" t="n">
        <v>3811231.18</v>
      </c>
      <c r="H267" s="4" t="n">
        <v>0.186628</v>
      </c>
    </row>
    <row r="268" customFormat="false" ht="15" hidden="false" customHeight="false" outlineLevel="0" collapsed="false">
      <c r="A268" s="4" t="s">
        <v>62</v>
      </c>
      <c r="B268" s="4" t="s">
        <v>91</v>
      </c>
      <c r="C268" s="4" t="n">
        <v>14915</v>
      </c>
      <c r="D268" s="4" t="n">
        <v>13450</v>
      </c>
      <c r="E268" s="4" t="n">
        <v>0.901777</v>
      </c>
      <c r="F268" s="4" t="n">
        <v>4893409.98</v>
      </c>
      <c r="G268" s="4" t="n">
        <v>504619.7</v>
      </c>
      <c r="H268" s="4" t="n">
        <v>0.044805</v>
      </c>
    </row>
    <row r="269" customFormat="false" ht="15" hidden="false" customHeight="false" outlineLevel="0" collapsed="false">
      <c r="A269" s="4" t="s">
        <v>62</v>
      </c>
      <c r="B269" s="4" t="s">
        <v>92</v>
      </c>
      <c r="C269" s="4" t="n">
        <v>12393</v>
      </c>
      <c r="D269" s="4" t="n">
        <v>11624</v>
      </c>
      <c r="E269" s="4" t="n">
        <v>0.937949</v>
      </c>
      <c r="F269" s="4" t="n">
        <v>4312609.66</v>
      </c>
      <c r="G269" s="4" t="n">
        <v>279326.64</v>
      </c>
      <c r="H269" s="4" t="n">
        <v>0.037229</v>
      </c>
    </row>
    <row r="270" customFormat="false" ht="15" hidden="false" customHeight="false" outlineLevel="0" collapsed="false">
      <c r="A270" s="4" t="s">
        <v>63</v>
      </c>
      <c r="B270" s="4" t="s">
        <v>79</v>
      </c>
      <c r="C270" s="4" t="n">
        <v>8532</v>
      </c>
      <c r="D270" s="4" t="n">
        <v>7942</v>
      </c>
      <c r="E270" s="4" t="n">
        <v>0.930849</v>
      </c>
      <c r="F270" s="4" t="n">
        <v>3126824.74</v>
      </c>
      <c r="G270" s="4" t="n">
        <v>210841.63</v>
      </c>
      <c r="H270" s="4" t="n">
        <v>0.022166</v>
      </c>
    </row>
    <row r="271" customFormat="false" ht="15" hidden="false" customHeight="false" outlineLevel="0" collapsed="false">
      <c r="A271" s="4" t="s">
        <v>63</v>
      </c>
      <c r="B271" s="4" t="s">
        <v>80</v>
      </c>
      <c r="C271" s="4" t="n">
        <v>35657</v>
      </c>
      <c r="D271" s="4" t="n">
        <v>33723</v>
      </c>
      <c r="E271" s="4" t="n">
        <v>0.945761</v>
      </c>
      <c r="F271" s="4" t="n">
        <v>12106130.81</v>
      </c>
      <c r="G271" s="4" t="n">
        <v>715499.23</v>
      </c>
      <c r="H271" s="4" t="n">
        <v>0.092636</v>
      </c>
    </row>
    <row r="272" customFormat="false" ht="15" hidden="false" customHeight="false" outlineLevel="0" collapsed="false">
      <c r="A272" s="4" t="s">
        <v>63</v>
      </c>
      <c r="B272" s="4" t="s">
        <v>81</v>
      </c>
      <c r="C272" s="4" t="n">
        <v>22166</v>
      </c>
      <c r="D272" s="4" t="n">
        <v>20199</v>
      </c>
      <c r="E272" s="4" t="n">
        <v>0.91126</v>
      </c>
      <c r="F272" s="4" t="n">
        <v>8000063.76</v>
      </c>
      <c r="G272" s="4" t="n">
        <v>758084.16</v>
      </c>
      <c r="H272" s="4" t="n">
        <v>0.057587</v>
      </c>
    </row>
    <row r="273" customFormat="false" ht="15" hidden="false" customHeight="false" outlineLevel="0" collapsed="false">
      <c r="A273" s="4" t="s">
        <v>63</v>
      </c>
      <c r="B273" s="4" t="s">
        <v>82</v>
      </c>
      <c r="C273" s="4" t="n">
        <v>18203</v>
      </c>
      <c r="D273" s="4" t="n">
        <v>16562</v>
      </c>
      <c r="E273" s="4" t="n">
        <v>0.90985</v>
      </c>
      <c r="F273" s="4" t="n">
        <v>6364620.76</v>
      </c>
      <c r="G273" s="4" t="n">
        <v>626589.38</v>
      </c>
      <c r="H273" s="4" t="n">
        <v>0.047291</v>
      </c>
    </row>
    <row r="274" customFormat="false" ht="15" hidden="false" customHeight="false" outlineLevel="0" collapsed="false">
      <c r="A274" s="4" t="s">
        <v>63</v>
      </c>
      <c r="B274" s="4" t="s">
        <v>83</v>
      </c>
      <c r="C274" s="4" t="n">
        <v>59046</v>
      </c>
      <c r="D274" s="4" t="n">
        <v>56683</v>
      </c>
      <c r="E274" s="4" t="n">
        <v>0.95998</v>
      </c>
      <c r="F274" s="4" t="n">
        <v>20592625.95</v>
      </c>
      <c r="G274" s="4" t="n">
        <v>1017364.45</v>
      </c>
      <c r="H274" s="4" t="n">
        <v>0.1534</v>
      </c>
    </row>
    <row r="275" customFormat="false" ht="15" hidden="false" customHeight="false" outlineLevel="0" collapsed="false">
      <c r="A275" s="4" t="s">
        <v>63</v>
      </c>
      <c r="B275" s="4" t="s">
        <v>84</v>
      </c>
      <c r="C275" s="4" t="n">
        <v>45352</v>
      </c>
      <c r="D275" s="4" t="n">
        <v>43328</v>
      </c>
      <c r="E275" s="4" t="n">
        <v>0.955371</v>
      </c>
      <c r="F275" s="4" t="n">
        <v>15646741.76</v>
      </c>
      <c r="G275" s="4" t="n">
        <v>811219.92</v>
      </c>
      <c r="H275" s="4" t="n">
        <v>0.117823</v>
      </c>
    </row>
    <row r="276" customFormat="false" ht="15" hidden="false" customHeight="false" outlineLevel="0" collapsed="false">
      <c r="A276" s="4" t="s">
        <v>63</v>
      </c>
      <c r="B276" s="4" t="s">
        <v>85</v>
      </c>
      <c r="C276" s="4" t="n">
        <v>11790</v>
      </c>
      <c r="D276" s="4" t="n">
        <v>11153</v>
      </c>
      <c r="E276" s="4" t="n">
        <v>0.945971</v>
      </c>
      <c r="F276" s="4" t="n">
        <v>4139181.67</v>
      </c>
      <c r="G276" s="4" t="n">
        <v>252218.97</v>
      </c>
      <c r="H276" s="4" t="n">
        <v>0.03063</v>
      </c>
    </row>
    <row r="277" customFormat="false" ht="15" hidden="false" customHeight="false" outlineLevel="0" collapsed="false">
      <c r="A277" s="4" t="s">
        <v>63</v>
      </c>
      <c r="B277" s="4" t="s">
        <v>86</v>
      </c>
      <c r="C277" s="4" t="n">
        <v>23634</v>
      </c>
      <c r="D277" s="4" t="n">
        <v>22556</v>
      </c>
      <c r="E277" s="4" t="n">
        <v>0.954388</v>
      </c>
      <c r="F277" s="4" t="n">
        <v>7982479.82</v>
      </c>
      <c r="G277" s="4" t="n">
        <v>410405.31</v>
      </c>
      <c r="H277" s="4" t="n">
        <v>0.0614</v>
      </c>
    </row>
    <row r="278" customFormat="false" ht="15" hidden="false" customHeight="false" outlineLevel="0" collapsed="false">
      <c r="A278" s="4" t="s">
        <v>63</v>
      </c>
      <c r="B278" s="4" t="s">
        <v>87</v>
      </c>
      <c r="C278" s="4" t="n">
        <v>10233</v>
      </c>
      <c r="D278" s="4" t="n">
        <v>9570</v>
      </c>
      <c r="E278" s="4" t="n">
        <v>0.93521</v>
      </c>
      <c r="F278" s="4" t="n">
        <v>3330280.86</v>
      </c>
      <c r="G278" s="4" t="n">
        <v>251807.33</v>
      </c>
      <c r="H278" s="4" t="n">
        <v>0.026585</v>
      </c>
    </row>
    <row r="279" customFormat="false" ht="15" hidden="false" customHeight="false" outlineLevel="0" collapsed="false">
      <c r="A279" s="4" t="s">
        <v>63</v>
      </c>
      <c r="B279" s="4" t="s">
        <v>88</v>
      </c>
      <c r="C279" s="4" t="n">
        <v>28864</v>
      </c>
      <c r="D279" s="4" t="n">
        <v>26043</v>
      </c>
      <c r="E279" s="4" t="n">
        <v>0.902266</v>
      </c>
      <c r="F279" s="4" t="n">
        <v>10459481.46</v>
      </c>
      <c r="G279" s="4" t="n">
        <v>1139934.38</v>
      </c>
      <c r="H279" s="4" t="n">
        <v>0.074988</v>
      </c>
    </row>
    <row r="280" customFormat="false" ht="15" hidden="false" customHeight="false" outlineLevel="0" collapsed="false">
      <c r="A280" s="4" t="s">
        <v>63</v>
      </c>
      <c r="B280" s="4" t="s">
        <v>89</v>
      </c>
      <c r="C280" s="4" t="n">
        <v>17408</v>
      </c>
      <c r="D280" s="4" t="n">
        <v>14311</v>
      </c>
      <c r="E280" s="4" t="n">
        <v>0.822093</v>
      </c>
      <c r="F280" s="4" t="n">
        <v>6091630.58</v>
      </c>
      <c r="G280" s="4" t="n">
        <v>1092500.9</v>
      </c>
      <c r="H280" s="4" t="n">
        <v>0.045225</v>
      </c>
    </row>
    <row r="281" customFormat="false" ht="15" hidden="false" customHeight="false" outlineLevel="0" collapsed="false">
      <c r="A281" s="4" t="s">
        <v>63</v>
      </c>
      <c r="B281" s="4" t="s">
        <v>90</v>
      </c>
      <c r="C281" s="4" t="n">
        <v>71966</v>
      </c>
      <c r="D281" s="4" t="n">
        <v>66099</v>
      </c>
      <c r="E281" s="4" t="n">
        <v>0.918475</v>
      </c>
      <c r="F281" s="4" t="n">
        <v>24454989.15</v>
      </c>
      <c r="G281" s="4" t="n">
        <v>2070935.45</v>
      </c>
      <c r="H281" s="4" t="n">
        <v>0.186965</v>
      </c>
    </row>
    <row r="282" customFormat="false" ht="15" hidden="false" customHeight="false" outlineLevel="0" collapsed="false">
      <c r="A282" s="4" t="s">
        <v>63</v>
      </c>
      <c r="B282" s="4" t="s">
        <v>91</v>
      </c>
      <c r="C282" s="4" t="n">
        <v>17439</v>
      </c>
      <c r="D282" s="4" t="n">
        <v>15736</v>
      </c>
      <c r="E282" s="4" t="n">
        <v>0.902345</v>
      </c>
      <c r="F282" s="4" t="n">
        <v>5795671.63</v>
      </c>
      <c r="G282" s="4" t="n">
        <v>648496.72</v>
      </c>
      <c r="H282" s="4" t="n">
        <v>0.045306</v>
      </c>
    </row>
    <row r="283" customFormat="false" ht="15" hidden="false" customHeight="false" outlineLevel="0" collapsed="false">
      <c r="A283" s="4" t="s">
        <v>63</v>
      </c>
      <c r="B283" s="4" t="s">
        <v>92</v>
      </c>
      <c r="C283" s="4" t="n">
        <v>14626</v>
      </c>
      <c r="D283" s="4" t="n">
        <v>13775</v>
      </c>
      <c r="E283" s="4" t="n">
        <v>0.941816</v>
      </c>
      <c r="F283" s="4" t="n">
        <v>5079624.28</v>
      </c>
      <c r="G283" s="4" t="n">
        <v>307272.36</v>
      </c>
      <c r="H283" s="4" t="n">
        <v>0.037998</v>
      </c>
    </row>
    <row r="284" customFormat="false" ht="15" hidden="false" customHeight="false" outlineLevel="0" collapsed="false">
      <c r="A284" s="4" t="s">
        <v>64</v>
      </c>
      <c r="B284" s="4" t="s">
        <v>79</v>
      </c>
      <c r="C284" s="4" t="n">
        <v>8246</v>
      </c>
      <c r="D284" s="4" t="n">
        <v>7692</v>
      </c>
      <c r="E284" s="4" t="n">
        <v>0.932816</v>
      </c>
      <c r="F284" s="4" t="n">
        <v>2811259.81</v>
      </c>
      <c r="G284" s="4" t="n">
        <v>208566.87</v>
      </c>
      <c r="H284" s="4" t="n">
        <v>0.02218</v>
      </c>
    </row>
    <row r="285" customFormat="false" ht="15" hidden="false" customHeight="false" outlineLevel="0" collapsed="false">
      <c r="A285" s="4" t="s">
        <v>64</v>
      </c>
      <c r="B285" s="4" t="s">
        <v>80</v>
      </c>
      <c r="C285" s="4" t="n">
        <v>34777</v>
      </c>
      <c r="D285" s="4" t="n">
        <v>32928</v>
      </c>
      <c r="E285" s="4" t="n">
        <v>0.946833</v>
      </c>
      <c r="F285" s="4" t="n">
        <v>11923666.38</v>
      </c>
      <c r="G285" s="4" t="n">
        <v>756758.02</v>
      </c>
      <c r="H285" s="4" t="n">
        <v>0.093542</v>
      </c>
    </row>
    <row r="286" customFormat="false" ht="15" hidden="false" customHeight="false" outlineLevel="0" collapsed="false">
      <c r="A286" s="4" t="s">
        <v>64</v>
      </c>
      <c r="B286" s="4" t="s">
        <v>81</v>
      </c>
      <c r="C286" s="4" t="n">
        <v>21473</v>
      </c>
      <c r="D286" s="4" t="n">
        <v>19576</v>
      </c>
      <c r="E286" s="4" t="n">
        <v>0.911656</v>
      </c>
      <c r="F286" s="4" t="n">
        <v>7655724.5</v>
      </c>
      <c r="G286" s="4" t="n">
        <v>692617.32</v>
      </c>
      <c r="H286" s="4" t="n">
        <v>0.057757</v>
      </c>
    </row>
    <row r="287" customFormat="false" ht="15" hidden="false" customHeight="false" outlineLevel="0" collapsed="false">
      <c r="A287" s="4" t="s">
        <v>64</v>
      </c>
      <c r="B287" s="4" t="s">
        <v>82</v>
      </c>
      <c r="C287" s="4" t="n">
        <v>17425</v>
      </c>
      <c r="D287" s="4" t="n">
        <v>15840</v>
      </c>
      <c r="E287" s="4" t="n">
        <v>0.909039</v>
      </c>
      <c r="F287" s="4" t="n">
        <v>6010639.65</v>
      </c>
      <c r="G287" s="4" t="n">
        <v>575505.59</v>
      </c>
      <c r="H287" s="4" t="n">
        <v>0.046869</v>
      </c>
    </row>
    <row r="288" customFormat="false" ht="15" hidden="false" customHeight="false" outlineLevel="0" collapsed="false">
      <c r="A288" s="4" t="s">
        <v>64</v>
      </c>
      <c r="B288" s="4" t="s">
        <v>83</v>
      </c>
      <c r="C288" s="4" t="n">
        <v>56791</v>
      </c>
      <c r="D288" s="4" t="n">
        <v>54507</v>
      </c>
      <c r="E288" s="4" t="n">
        <v>0.959782</v>
      </c>
      <c r="F288" s="4" t="n">
        <v>19651594.54</v>
      </c>
      <c r="G288" s="4" t="n">
        <v>866292.05</v>
      </c>
      <c r="H288" s="4" t="n">
        <v>0.152754</v>
      </c>
    </row>
    <row r="289" customFormat="false" ht="15" hidden="false" customHeight="false" outlineLevel="0" collapsed="false">
      <c r="A289" s="4" t="s">
        <v>64</v>
      </c>
      <c r="B289" s="4" t="s">
        <v>84</v>
      </c>
      <c r="C289" s="4" t="n">
        <v>43222</v>
      </c>
      <c r="D289" s="4" t="n">
        <v>41328</v>
      </c>
      <c r="E289" s="4" t="n">
        <v>0.95618</v>
      </c>
      <c r="F289" s="4" t="n">
        <v>14975279.29</v>
      </c>
      <c r="G289" s="4" t="n">
        <v>873284.95</v>
      </c>
      <c r="H289" s="4" t="n">
        <v>0.116257</v>
      </c>
    </row>
    <row r="290" customFormat="false" ht="15" hidden="false" customHeight="false" outlineLevel="0" collapsed="false">
      <c r="A290" s="4" t="s">
        <v>64</v>
      </c>
      <c r="B290" s="4" t="s">
        <v>85</v>
      </c>
      <c r="C290" s="4" t="n">
        <v>11348</v>
      </c>
      <c r="D290" s="4" t="n">
        <v>10790</v>
      </c>
      <c r="E290" s="4" t="n">
        <v>0.950828</v>
      </c>
      <c r="F290" s="4" t="n">
        <v>3866835.62</v>
      </c>
      <c r="G290" s="4" t="n">
        <v>231355.66</v>
      </c>
      <c r="H290" s="4" t="n">
        <v>0.030523</v>
      </c>
    </row>
    <row r="291" customFormat="false" ht="15" hidden="false" customHeight="false" outlineLevel="0" collapsed="false">
      <c r="A291" s="4" t="s">
        <v>64</v>
      </c>
      <c r="B291" s="4" t="s">
        <v>86</v>
      </c>
      <c r="C291" s="4" t="n">
        <v>22760</v>
      </c>
      <c r="D291" s="4" t="n">
        <v>21687</v>
      </c>
      <c r="E291" s="4" t="n">
        <v>0.952856</v>
      </c>
      <c r="F291" s="4" t="n">
        <v>7814079.05</v>
      </c>
      <c r="G291" s="4" t="n">
        <v>427549.38</v>
      </c>
      <c r="H291" s="4" t="n">
        <v>0.061219</v>
      </c>
    </row>
    <row r="292" customFormat="false" ht="15" hidden="false" customHeight="false" outlineLevel="0" collapsed="false">
      <c r="A292" s="4" t="s">
        <v>64</v>
      </c>
      <c r="B292" s="4" t="s">
        <v>87</v>
      </c>
      <c r="C292" s="4" t="n">
        <v>9855</v>
      </c>
      <c r="D292" s="4" t="n">
        <v>9240</v>
      </c>
      <c r="E292" s="4" t="n">
        <v>0.937595</v>
      </c>
      <c r="F292" s="4" t="n">
        <v>3182011.93</v>
      </c>
      <c r="G292" s="4" t="n">
        <v>220882.16</v>
      </c>
      <c r="H292" s="4" t="n">
        <v>0.026508</v>
      </c>
    </row>
    <row r="293" customFormat="false" ht="15" hidden="false" customHeight="false" outlineLevel="0" collapsed="false">
      <c r="A293" s="4" t="s">
        <v>64</v>
      </c>
      <c r="B293" s="4" t="s">
        <v>88</v>
      </c>
      <c r="C293" s="4" t="n">
        <v>27906</v>
      </c>
      <c r="D293" s="4" t="n">
        <v>25129</v>
      </c>
      <c r="E293" s="4" t="n">
        <v>0.900487</v>
      </c>
      <c r="F293" s="4" t="n">
        <v>9974835.63</v>
      </c>
      <c r="G293" s="4" t="n">
        <v>1053828.92</v>
      </c>
      <c r="H293" s="4" t="n">
        <v>0.075061</v>
      </c>
    </row>
    <row r="294" customFormat="false" ht="15" hidden="false" customHeight="false" outlineLevel="0" collapsed="false">
      <c r="A294" s="4" t="s">
        <v>64</v>
      </c>
      <c r="B294" s="4" t="s">
        <v>89</v>
      </c>
      <c r="C294" s="4" t="n">
        <v>16972</v>
      </c>
      <c r="D294" s="4" t="n">
        <v>13840</v>
      </c>
      <c r="E294" s="4" t="n">
        <v>0.815461</v>
      </c>
      <c r="F294" s="4" t="n">
        <v>5765128.82</v>
      </c>
      <c r="G294" s="4" t="n">
        <v>1110989.61</v>
      </c>
      <c r="H294" s="4" t="n">
        <v>0.045651</v>
      </c>
    </row>
    <row r="295" customFormat="false" ht="15" hidden="false" customHeight="false" outlineLevel="0" collapsed="false">
      <c r="A295" s="4" t="s">
        <v>64</v>
      </c>
      <c r="B295" s="4" t="s">
        <v>90</v>
      </c>
      <c r="C295" s="4" t="n">
        <v>70176</v>
      </c>
      <c r="D295" s="4" t="n">
        <v>64438</v>
      </c>
      <c r="E295" s="4" t="n">
        <v>0.918234</v>
      </c>
      <c r="F295" s="4" t="n">
        <v>23628272.94</v>
      </c>
      <c r="G295" s="4" t="n">
        <v>2057785.27</v>
      </c>
      <c r="H295" s="4" t="n">
        <v>0.188757</v>
      </c>
    </row>
    <row r="296" customFormat="false" ht="15" hidden="false" customHeight="false" outlineLevel="0" collapsed="false">
      <c r="A296" s="4" t="s">
        <v>64</v>
      </c>
      <c r="B296" s="4" t="s">
        <v>91</v>
      </c>
      <c r="C296" s="4" t="n">
        <v>16814</v>
      </c>
      <c r="D296" s="4" t="n">
        <v>15182</v>
      </c>
      <c r="E296" s="4" t="n">
        <v>0.902938</v>
      </c>
      <c r="F296" s="4" t="n">
        <v>5611525.51</v>
      </c>
      <c r="G296" s="4" t="n">
        <v>528703.38</v>
      </c>
      <c r="H296" s="4" t="n">
        <v>0.045226</v>
      </c>
    </row>
    <row r="297" customFormat="false" ht="15" hidden="false" customHeight="false" outlineLevel="0" collapsed="false">
      <c r="A297" s="4" t="s">
        <v>64</v>
      </c>
      <c r="B297" s="4" t="s">
        <v>92</v>
      </c>
      <c r="C297" s="4" t="n">
        <v>14015</v>
      </c>
      <c r="D297" s="4" t="n">
        <v>13253</v>
      </c>
      <c r="E297" s="4" t="n">
        <v>0.94563</v>
      </c>
      <c r="F297" s="4" t="n">
        <v>4746795.19</v>
      </c>
      <c r="G297" s="4" t="n">
        <v>296557.83</v>
      </c>
      <c r="H297" s="4" t="n">
        <v>0.037697</v>
      </c>
    </row>
    <row r="298" customFormat="false" ht="15" hidden="false" customHeight="false" outlineLevel="0" collapsed="false">
      <c r="A298" s="4" t="s">
        <v>65</v>
      </c>
      <c r="B298" s="4" t="s">
        <v>79</v>
      </c>
      <c r="C298" s="4" t="n">
        <v>8186</v>
      </c>
      <c r="D298" s="4" t="n">
        <v>7598</v>
      </c>
      <c r="E298" s="4" t="n">
        <v>0.92817</v>
      </c>
      <c r="F298" s="4" t="n">
        <v>2944951.62</v>
      </c>
      <c r="G298" s="4" t="n">
        <v>215262.97</v>
      </c>
      <c r="H298" s="4" t="n">
        <v>0.021778</v>
      </c>
    </row>
    <row r="299" customFormat="false" ht="15" hidden="false" customHeight="false" outlineLevel="0" collapsed="false">
      <c r="A299" s="4" t="s">
        <v>65</v>
      </c>
      <c r="B299" s="4" t="s">
        <v>80</v>
      </c>
      <c r="C299" s="4" t="n">
        <v>34784</v>
      </c>
      <c r="D299" s="4" t="n">
        <v>32883</v>
      </c>
      <c r="E299" s="4" t="n">
        <v>0.945348</v>
      </c>
      <c r="F299" s="4" t="n">
        <v>12143116.4</v>
      </c>
      <c r="G299" s="4" t="n">
        <v>676301.27</v>
      </c>
      <c r="H299" s="4" t="n">
        <v>0.09254</v>
      </c>
    </row>
    <row r="300" customFormat="false" ht="15" hidden="false" customHeight="false" outlineLevel="0" collapsed="false">
      <c r="A300" s="4" t="s">
        <v>65</v>
      </c>
      <c r="B300" s="4" t="s">
        <v>81</v>
      </c>
      <c r="C300" s="4" t="n">
        <v>22086</v>
      </c>
      <c r="D300" s="4" t="n">
        <v>20128</v>
      </c>
      <c r="E300" s="4" t="n">
        <v>0.911347</v>
      </c>
      <c r="F300" s="4" t="n">
        <v>7948458.78</v>
      </c>
      <c r="G300" s="4" t="n">
        <v>743378.26</v>
      </c>
      <c r="H300" s="4" t="n">
        <v>0.058758</v>
      </c>
    </row>
    <row r="301" customFormat="false" ht="15" hidden="false" customHeight="false" outlineLevel="0" collapsed="false">
      <c r="A301" s="4" t="s">
        <v>65</v>
      </c>
      <c r="B301" s="4" t="s">
        <v>82</v>
      </c>
      <c r="C301" s="4" t="n">
        <v>17751</v>
      </c>
      <c r="D301" s="4" t="n">
        <v>16117</v>
      </c>
      <c r="E301" s="4" t="n">
        <v>0.907949</v>
      </c>
      <c r="F301" s="4" t="n">
        <v>6137407.41</v>
      </c>
      <c r="G301" s="4" t="n">
        <v>584657.08</v>
      </c>
      <c r="H301" s="4" t="n">
        <v>0.047225</v>
      </c>
    </row>
    <row r="302" customFormat="false" ht="15" hidden="false" customHeight="false" outlineLevel="0" collapsed="false">
      <c r="A302" s="4" t="s">
        <v>65</v>
      </c>
      <c r="B302" s="4" t="s">
        <v>83</v>
      </c>
      <c r="C302" s="4" t="n">
        <v>57094</v>
      </c>
      <c r="D302" s="4" t="n">
        <v>54796</v>
      </c>
      <c r="E302" s="4" t="n">
        <v>0.959751</v>
      </c>
      <c r="F302" s="4" t="n">
        <v>19978945.08</v>
      </c>
      <c r="G302" s="4" t="n">
        <v>893545.42</v>
      </c>
      <c r="H302" s="4" t="n">
        <v>0.151893</v>
      </c>
    </row>
    <row r="303" customFormat="false" ht="15" hidden="false" customHeight="false" outlineLevel="0" collapsed="false">
      <c r="A303" s="4" t="s">
        <v>65</v>
      </c>
      <c r="B303" s="4" t="s">
        <v>84</v>
      </c>
      <c r="C303" s="4" t="n">
        <v>44020</v>
      </c>
      <c r="D303" s="4" t="n">
        <v>42129</v>
      </c>
      <c r="E303" s="4" t="n">
        <v>0.957042</v>
      </c>
      <c r="F303" s="4" t="n">
        <v>15223270.59</v>
      </c>
      <c r="G303" s="4" t="n">
        <v>771562.72</v>
      </c>
      <c r="H303" s="4" t="n">
        <v>0.117111</v>
      </c>
    </row>
    <row r="304" customFormat="false" ht="15" hidden="false" customHeight="false" outlineLevel="0" collapsed="false">
      <c r="A304" s="4" t="s">
        <v>65</v>
      </c>
      <c r="B304" s="4" t="s">
        <v>85</v>
      </c>
      <c r="C304" s="4" t="n">
        <v>11470</v>
      </c>
      <c r="D304" s="4" t="n">
        <v>10835</v>
      </c>
      <c r="E304" s="4" t="n">
        <v>0.944638</v>
      </c>
      <c r="F304" s="4" t="n">
        <v>3895837.3</v>
      </c>
      <c r="G304" s="4" t="n">
        <v>235793.76</v>
      </c>
      <c r="H304" s="4" t="n">
        <v>0.030515</v>
      </c>
    </row>
    <row r="305" customFormat="false" ht="15" hidden="false" customHeight="false" outlineLevel="0" collapsed="false">
      <c r="A305" s="4" t="s">
        <v>65</v>
      </c>
      <c r="B305" s="4" t="s">
        <v>86</v>
      </c>
      <c r="C305" s="4" t="n">
        <v>23218</v>
      </c>
      <c r="D305" s="4" t="n">
        <v>22134</v>
      </c>
      <c r="E305" s="4" t="n">
        <v>0.953312</v>
      </c>
      <c r="F305" s="4" t="n">
        <v>8058525.6</v>
      </c>
      <c r="G305" s="4" t="n">
        <v>400555.85</v>
      </c>
      <c r="H305" s="4" t="n">
        <v>0.061769</v>
      </c>
    </row>
    <row r="306" customFormat="false" ht="15" hidden="false" customHeight="false" outlineLevel="0" collapsed="false">
      <c r="A306" s="4" t="s">
        <v>65</v>
      </c>
      <c r="B306" s="4" t="s">
        <v>87</v>
      </c>
      <c r="C306" s="4" t="n">
        <v>10239</v>
      </c>
      <c r="D306" s="4" t="n">
        <v>9560</v>
      </c>
      <c r="E306" s="4" t="n">
        <v>0.933685</v>
      </c>
      <c r="F306" s="4" t="n">
        <v>3506420.91</v>
      </c>
      <c r="G306" s="4" t="n">
        <v>257568.47</v>
      </c>
      <c r="H306" s="4" t="n">
        <v>0.02724</v>
      </c>
    </row>
    <row r="307" customFormat="false" ht="15" hidden="false" customHeight="false" outlineLevel="0" collapsed="false">
      <c r="A307" s="4" t="s">
        <v>65</v>
      </c>
      <c r="B307" s="4" t="s">
        <v>88</v>
      </c>
      <c r="C307" s="4" t="n">
        <v>28197</v>
      </c>
      <c r="D307" s="4" t="n">
        <v>25452</v>
      </c>
      <c r="E307" s="4" t="n">
        <v>0.902649</v>
      </c>
      <c r="F307" s="4" t="n">
        <v>10021386.65</v>
      </c>
      <c r="G307" s="4" t="n">
        <v>1015445.55</v>
      </c>
      <c r="H307" s="4" t="n">
        <v>0.075016</v>
      </c>
    </row>
    <row r="308" customFormat="false" ht="15" hidden="false" customHeight="false" outlineLevel="0" collapsed="false">
      <c r="A308" s="4" t="s">
        <v>65</v>
      </c>
      <c r="B308" s="4" t="s">
        <v>89</v>
      </c>
      <c r="C308" s="4" t="n">
        <v>17184</v>
      </c>
      <c r="D308" s="4" t="n">
        <v>14090</v>
      </c>
      <c r="E308" s="4" t="n">
        <v>0.819949</v>
      </c>
      <c r="F308" s="4" t="n">
        <v>5950153.74</v>
      </c>
      <c r="G308" s="4" t="n">
        <v>1106467.27</v>
      </c>
      <c r="H308" s="4" t="n">
        <v>0.045716</v>
      </c>
    </row>
    <row r="309" customFormat="false" ht="15" hidden="false" customHeight="false" outlineLevel="0" collapsed="false">
      <c r="A309" s="4" t="s">
        <v>65</v>
      </c>
      <c r="B309" s="4" t="s">
        <v>90</v>
      </c>
      <c r="C309" s="4" t="n">
        <v>70499</v>
      </c>
      <c r="D309" s="4" t="n">
        <v>64881</v>
      </c>
      <c r="E309" s="4" t="n">
        <v>0.920311</v>
      </c>
      <c r="F309" s="4" t="n">
        <v>23766643.27</v>
      </c>
      <c r="G309" s="4" t="n">
        <v>2058378.16</v>
      </c>
      <c r="H309" s="4" t="n">
        <v>0.187556</v>
      </c>
    </row>
    <row r="310" customFormat="false" ht="15" hidden="false" customHeight="false" outlineLevel="0" collapsed="false">
      <c r="A310" s="4" t="s">
        <v>65</v>
      </c>
      <c r="B310" s="4" t="s">
        <v>91</v>
      </c>
      <c r="C310" s="4" t="n">
        <v>16937</v>
      </c>
      <c r="D310" s="4" t="n">
        <v>15245</v>
      </c>
      <c r="E310" s="4" t="n">
        <v>0.9001</v>
      </c>
      <c r="F310" s="4" t="n">
        <v>5793883.81</v>
      </c>
      <c r="G310" s="4" t="n">
        <v>612205.59</v>
      </c>
      <c r="H310" s="4" t="n">
        <v>0.045059</v>
      </c>
    </row>
    <row r="311" customFormat="false" ht="15" hidden="false" customHeight="false" outlineLevel="0" collapsed="false">
      <c r="A311" s="4" t="s">
        <v>65</v>
      </c>
      <c r="B311" s="4" t="s">
        <v>92</v>
      </c>
      <c r="C311" s="4" t="n">
        <v>14217</v>
      </c>
      <c r="D311" s="4" t="n">
        <v>13357</v>
      </c>
      <c r="E311" s="4" t="n">
        <v>0.939509</v>
      </c>
      <c r="F311" s="4" t="n">
        <v>4828922.88</v>
      </c>
      <c r="G311" s="4" t="n">
        <v>337527.49</v>
      </c>
      <c r="H311" s="4" t="n">
        <v>0.037823</v>
      </c>
    </row>
    <row r="312" customFormat="false" ht="15" hidden="false" customHeight="false" outlineLevel="0" collapsed="false">
      <c r="A312" s="4" t="s">
        <v>66</v>
      </c>
      <c r="B312" s="4" t="s">
        <v>79</v>
      </c>
      <c r="C312" s="4" t="n">
        <v>7893</v>
      </c>
      <c r="D312" s="4" t="n">
        <v>7305</v>
      </c>
      <c r="E312" s="4" t="n">
        <v>0.925504</v>
      </c>
      <c r="F312" s="4" t="n">
        <v>2871677.51</v>
      </c>
      <c r="G312" s="4" t="n">
        <v>239174.69</v>
      </c>
      <c r="H312" s="4" t="n">
        <v>0.022243</v>
      </c>
    </row>
    <row r="313" customFormat="false" ht="15" hidden="false" customHeight="false" outlineLevel="0" collapsed="false">
      <c r="A313" s="4" t="s">
        <v>66</v>
      </c>
      <c r="B313" s="4" t="s">
        <v>80</v>
      </c>
      <c r="C313" s="4" t="n">
        <v>32733</v>
      </c>
      <c r="D313" s="4" t="n">
        <v>30962</v>
      </c>
      <c r="E313" s="4" t="n">
        <v>0.945896</v>
      </c>
      <c r="F313" s="4" t="n">
        <v>11448039.19</v>
      </c>
      <c r="G313" s="4" t="n">
        <v>718166.79</v>
      </c>
      <c r="H313" s="4" t="n">
        <v>0.092243</v>
      </c>
    </row>
    <row r="314" customFormat="false" ht="15" hidden="false" customHeight="false" outlineLevel="0" collapsed="false">
      <c r="A314" s="4" t="s">
        <v>66</v>
      </c>
      <c r="B314" s="4" t="s">
        <v>81</v>
      </c>
      <c r="C314" s="4" t="n">
        <v>20635</v>
      </c>
      <c r="D314" s="4" t="n">
        <v>18713</v>
      </c>
      <c r="E314" s="4" t="n">
        <v>0.906857</v>
      </c>
      <c r="F314" s="4" t="n">
        <v>7160004.26</v>
      </c>
      <c r="G314" s="4" t="n">
        <v>680467.97</v>
      </c>
      <c r="H314" s="4" t="n">
        <v>0.058151</v>
      </c>
    </row>
    <row r="315" customFormat="false" ht="15" hidden="false" customHeight="false" outlineLevel="0" collapsed="false">
      <c r="A315" s="4" t="s">
        <v>66</v>
      </c>
      <c r="B315" s="4" t="s">
        <v>82</v>
      </c>
      <c r="C315" s="4" t="n">
        <v>16762</v>
      </c>
      <c r="D315" s="4" t="n">
        <v>15239</v>
      </c>
      <c r="E315" s="4" t="n">
        <v>0.90914</v>
      </c>
      <c r="F315" s="4" t="n">
        <v>5743150.43</v>
      </c>
      <c r="G315" s="4" t="n">
        <v>549662.83</v>
      </c>
      <c r="H315" s="4" t="n">
        <v>0.047236</v>
      </c>
    </row>
    <row r="316" customFormat="false" ht="15" hidden="false" customHeight="false" outlineLevel="0" collapsed="false">
      <c r="A316" s="4" t="s">
        <v>66</v>
      </c>
      <c r="B316" s="4" t="s">
        <v>83</v>
      </c>
      <c r="C316" s="4" t="n">
        <v>54032</v>
      </c>
      <c r="D316" s="4" t="n">
        <v>51881</v>
      </c>
      <c r="E316" s="4" t="n">
        <v>0.96019</v>
      </c>
      <c r="F316" s="4" t="n">
        <v>18690153.86</v>
      </c>
      <c r="G316" s="4" t="n">
        <v>850929.62</v>
      </c>
      <c r="H316" s="4" t="n">
        <v>0.152265</v>
      </c>
    </row>
    <row r="317" customFormat="false" ht="15" hidden="false" customHeight="false" outlineLevel="0" collapsed="false">
      <c r="A317" s="4" t="s">
        <v>66</v>
      </c>
      <c r="B317" s="4" t="s">
        <v>84</v>
      </c>
      <c r="C317" s="4" t="n">
        <v>41486</v>
      </c>
      <c r="D317" s="4" t="n">
        <v>39589</v>
      </c>
      <c r="E317" s="4" t="n">
        <v>0.954274</v>
      </c>
      <c r="F317" s="4" t="n">
        <v>14135127.61</v>
      </c>
      <c r="G317" s="4" t="n">
        <v>779563.05</v>
      </c>
      <c r="H317" s="4" t="n">
        <v>0.11691</v>
      </c>
    </row>
    <row r="318" customFormat="false" ht="15" hidden="false" customHeight="false" outlineLevel="0" collapsed="false">
      <c r="A318" s="4" t="s">
        <v>66</v>
      </c>
      <c r="B318" s="4" t="s">
        <v>85</v>
      </c>
      <c r="C318" s="4" t="n">
        <v>10993</v>
      </c>
      <c r="D318" s="4" t="n">
        <v>10438</v>
      </c>
      <c r="E318" s="4" t="n">
        <v>0.949513</v>
      </c>
      <c r="F318" s="4" t="n">
        <v>3731396.04</v>
      </c>
      <c r="G318" s="4" t="n">
        <v>199734.15</v>
      </c>
      <c r="H318" s="4" t="n">
        <v>0.030979</v>
      </c>
    </row>
    <row r="319" customFormat="false" ht="15" hidden="false" customHeight="false" outlineLevel="0" collapsed="false">
      <c r="A319" s="4" t="s">
        <v>66</v>
      </c>
      <c r="B319" s="4" t="s">
        <v>86</v>
      </c>
      <c r="C319" s="4" t="n">
        <v>21451</v>
      </c>
      <c r="D319" s="4" t="n">
        <v>20417</v>
      </c>
      <c r="E319" s="4" t="n">
        <v>0.951797</v>
      </c>
      <c r="F319" s="4" t="n">
        <v>7319414.9</v>
      </c>
      <c r="G319" s="4" t="n">
        <v>389472.32</v>
      </c>
      <c r="H319" s="4" t="n">
        <v>0.06045</v>
      </c>
    </row>
    <row r="320" customFormat="false" ht="15" hidden="false" customHeight="false" outlineLevel="0" collapsed="false">
      <c r="A320" s="4" t="s">
        <v>66</v>
      </c>
      <c r="B320" s="4" t="s">
        <v>87</v>
      </c>
      <c r="C320" s="4" t="n">
        <v>9469</v>
      </c>
      <c r="D320" s="4" t="n">
        <v>8812</v>
      </c>
      <c r="E320" s="4" t="n">
        <v>0.930616</v>
      </c>
      <c r="F320" s="4" t="n">
        <v>3219834.13</v>
      </c>
      <c r="G320" s="4" t="n">
        <v>226085.77</v>
      </c>
      <c r="H320" s="4" t="n">
        <v>0.026684</v>
      </c>
    </row>
    <row r="321" customFormat="false" ht="15" hidden="false" customHeight="false" outlineLevel="0" collapsed="false">
      <c r="A321" s="4" t="s">
        <v>66</v>
      </c>
      <c r="B321" s="4" t="s">
        <v>88</v>
      </c>
      <c r="C321" s="4" t="n">
        <v>26384</v>
      </c>
      <c r="D321" s="4" t="n">
        <v>23818</v>
      </c>
      <c r="E321" s="4" t="n">
        <v>0.902744</v>
      </c>
      <c r="F321" s="4" t="n">
        <v>9392928.55</v>
      </c>
      <c r="G321" s="4" t="n">
        <v>946663.59</v>
      </c>
      <c r="H321" s="4" t="n">
        <v>0.074351</v>
      </c>
    </row>
    <row r="322" customFormat="false" ht="15" hidden="false" customHeight="false" outlineLevel="0" collapsed="false">
      <c r="A322" s="4" t="s">
        <v>66</v>
      </c>
      <c r="B322" s="4" t="s">
        <v>89</v>
      </c>
      <c r="C322" s="4" t="n">
        <v>16324</v>
      </c>
      <c r="D322" s="4" t="n">
        <v>13363</v>
      </c>
      <c r="E322" s="4" t="n">
        <v>0.818611</v>
      </c>
      <c r="F322" s="4" t="n">
        <v>5753566.16</v>
      </c>
      <c r="G322" s="4" t="n">
        <v>1073546.94</v>
      </c>
      <c r="H322" s="4" t="n">
        <v>0.046002</v>
      </c>
    </row>
    <row r="323" customFormat="false" ht="15" hidden="false" customHeight="false" outlineLevel="0" collapsed="false">
      <c r="A323" s="4" t="s">
        <v>66</v>
      </c>
      <c r="B323" s="4" t="s">
        <v>90</v>
      </c>
      <c r="C323" s="4" t="n">
        <v>67229</v>
      </c>
      <c r="D323" s="4" t="n">
        <v>61655</v>
      </c>
      <c r="E323" s="4" t="n">
        <v>0.917089</v>
      </c>
      <c r="F323" s="4" t="n">
        <v>22879864.49</v>
      </c>
      <c r="G323" s="4" t="n">
        <v>2082102.19</v>
      </c>
      <c r="H323" s="4" t="n">
        <v>0.189455</v>
      </c>
    </row>
    <row r="324" customFormat="false" ht="15" hidden="false" customHeight="false" outlineLevel="0" collapsed="false">
      <c r="A324" s="4" t="s">
        <v>66</v>
      </c>
      <c r="B324" s="4" t="s">
        <v>91</v>
      </c>
      <c r="C324" s="4" t="n">
        <v>15825</v>
      </c>
      <c r="D324" s="4" t="n">
        <v>14274</v>
      </c>
      <c r="E324" s="4" t="n">
        <v>0.901991</v>
      </c>
      <c r="F324" s="4" t="n">
        <v>5315552.95</v>
      </c>
      <c r="G324" s="4" t="n">
        <v>559972.42</v>
      </c>
      <c r="H324" s="4" t="n">
        <v>0.044596</v>
      </c>
    </row>
    <row r="325" customFormat="false" ht="15" hidden="false" customHeight="false" outlineLevel="0" collapsed="false">
      <c r="A325" s="4" t="s">
        <v>66</v>
      </c>
      <c r="B325" s="4" t="s">
        <v>92</v>
      </c>
      <c r="C325" s="4" t="n">
        <v>13639</v>
      </c>
      <c r="D325" s="4" t="n">
        <v>12819</v>
      </c>
      <c r="E325" s="4" t="n">
        <v>0.939878</v>
      </c>
      <c r="F325" s="4" t="n">
        <v>4709095.06</v>
      </c>
      <c r="G325" s="4" t="n">
        <v>326609</v>
      </c>
      <c r="H325" s="4" t="n">
        <v>0.038435</v>
      </c>
    </row>
    <row r="326" customFormat="false" ht="15" hidden="false" customHeight="false" outlineLevel="0" collapsed="false">
      <c r="A326" s="4" t="s">
        <v>67</v>
      </c>
      <c r="B326" s="4" t="s">
        <v>79</v>
      </c>
      <c r="C326" s="4" t="n">
        <v>7710</v>
      </c>
      <c r="D326" s="4" t="n">
        <v>7162</v>
      </c>
      <c r="E326" s="4" t="n">
        <v>0.928923</v>
      </c>
      <c r="F326" s="4" t="n">
        <v>2711780.98</v>
      </c>
      <c r="G326" s="4" t="n">
        <v>205755.22</v>
      </c>
      <c r="H326" s="4" t="n">
        <v>0.021964</v>
      </c>
    </row>
    <row r="327" customFormat="false" ht="15" hidden="false" customHeight="false" outlineLevel="0" collapsed="false">
      <c r="A327" s="4" t="s">
        <v>67</v>
      </c>
      <c r="B327" s="4" t="s">
        <v>80</v>
      </c>
      <c r="C327" s="4" t="n">
        <v>32532</v>
      </c>
      <c r="D327" s="4" t="n">
        <v>30755</v>
      </c>
      <c r="E327" s="4" t="n">
        <v>0.945377</v>
      </c>
      <c r="F327" s="4" t="n">
        <v>11063403.92</v>
      </c>
      <c r="G327" s="4" t="n">
        <v>654036.7</v>
      </c>
      <c r="H327" s="4" t="n">
        <v>0.092678</v>
      </c>
    </row>
    <row r="328" customFormat="false" ht="15" hidden="false" customHeight="false" outlineLevel="0" collapsed="false">
      <c r="A328" s="4" t="s">
        <v>67</v>
      </c>
      <c r="B328" s="4" t="s">
        <v>81</v>
      </c>
      <c r="C328" s="4" t="n">
        <v>20232</v>
      </c>
      <c r="D328" s="4" t="n">
        <v>18442</v>
      </c>
      <c r="E328" s="4" t="n">
        <v>0.911526</v>
      </c>
      <c r="F328" s="4" t="n">
        <v>7228379.4</v>
      </c>
      <c r="G328" s="4" t="n">
        <v>684562.29</v>
      </c>
      <c r="H328" s="4" t="n">
        <v>0.057638</v>
      </c>
    </row>
    <row r="329" customFormat="false" ht="15" hidden="false" customHeight="false" outlineLevel="0" collapsed="false">
      <c r="A329" s="4" t="s">
        <v>67</v>
      </c>
      <c r="B329" s="4" t="s">
        <v>82</v>
      </c>
      <c r="C329" s="4" t="n">
        <v>16714</v>
      </c>
      <c r="D329" s="4" t="n">
        <v>15197</v>
      </c>
      <c r="E329" s="4" t="n">
        <v>0.909238</v>
      </c>
      <c r="F329" s="4" t="n">
        <v>5758032.01</v>
      </c>
      <c r="G329" s="4" t="n">
        <v>557641.41</v>
      </c>
      <c r="H329" s="4" t="n">
        <v>0.047615</v>
      </c>
    </row>
    <row r="330" customFormat="false" ht="15" hidden="false" customHeight="false" outlineLevel="0" collapsed="false">
      <c r="A330" s="4" t="s">
        <v>67</v>
      </c>
      <c r="B330" s="4" t="s">
        <v>83</v>
      </c>
      <c r="C330" s="4" t="n">
        <v>53029</v>
      </c>
      <c r="D330" s="4" t="n">
        <v>50927</v>
      </c>
      <c r="E330" s="4" t="n">
        <v>0.960361</v>
      </c>
      <c r="F330" s="4" t="n">
        <v>18273996.8</v>
      </c>
      <c r="G330" s="4" t="n">
        <v>856583.52</v>
      </c>
      <c r="H330" s="4" t="n">
        <v>0.151071</v>
      </c>
    </row>
    <row r="331" customFormat="false" ht="15" hidden="false" customHeight="false" outlineLevel="0" collapsed="false">
      <c r="A331" s="4" t="s">
        <v>67</v>
      </c>
      <c r="B331" s="4" t="s">
        <v>84</v>
      </c>
      <c r="C331" s="4" t="n">
        <v>41255</v>
      </c>
      <c r="D331" s="4" t="n">
        <v>39468</v>
      </c>
      <c r="E331" s="4" t="n">
        <v>0.956684</v>
      </c>
      <c r="F331" s="4" t="n">
        <v>14121124.35</v>
      </c>
      <c r="G331" s="4" t="n">
        <v>619493.2</v>
      </c>
      <c r="H331" s="4" t="n">
        <v>0.117529</v>
      </c>
    </row>
    <row r="332" customFormat="false" ht="15" hidden="false" customHeight="false" outlineLevel="0" collapsed="false">
      <c r="A332" s="4" t="s">
        <v>67</v>
      </c>
      <c r="B332" s="4" t="s">
        <v>85</v>
      </c>
      <c r="C332" s="4" t="n">
        <v>10703</v>
      </c>
      <c r="D332" s="4" t="n">
        <v>10163</v>
      </c>
      <c r="E332" s="4" t="n">
        <v>0.949547</v>
      </c>
      <c r="F332" s="4" t="n">
        <v>3801822.29</v>
      </c>
      <c r="G332" s="4" t="n">
        <v>202082.87</v>
      </c>
      <c r="H332" s="4" t="n">
        <v>0.030491</v>
      </c>
    </row>
    <row r="333" customFormat="false" ht="15" hidden="false" customHeight="false" outlineLevel="0" collapsed="false">
      <c r="A333" s="4" t="s">
        <v>67</v>
      </c>
      <c r="B333" s="4" t="s">
        <v>86</v>
      </c>
      <c r="C333" s="4" t="n">
        <v>21298</v>
      </c>
      <c r="D333" s="4" t="n">
        <v>20272</v>
      </c>
      <c r="E333" s="4" t="n">
        <v>0.951826</v>
      </c>
      <c r="F333" s="4" t="n">
        <v>7217892.23</v>
      </c>
      <c r="G333" s="4" t="n">
        <v>406017.81</v>
      </c>
      <c r="H333" s="4" t="n">
        <v>0.060674</v>
      </c>
    </row>
    <row r="334" customFormat="false" ht="15" hidden="false" customHeight="false" outlineLevel="0" collapsed="false">
      <c r="A334" s="4" t="s">
        <v>67</v>
      </c>
      <c r="B334" s="4" t="s">
        <v>87</v>
      </c>
      <c r="C334" s="4" t="n">
        <v>9432</v>
      </c>
      <c r="D334" s="4" t="n">
        <v>8836</v>
      </c>
      <c r="E334" s="4" t="n">
        <v>0.936811</v>
      </c>
      <c r="F334" s="4" t="n">
        <v>3308884.13</v>
      </c>
      <c r="G334" s="4" t="n">
        <v>213271.44</v>
      </c>
      <c r="H334" s="4" t="n">
        <v>0.02687</v>
      </c>
    </row>
    <row r="335" customFormat="false" ht="15" hidden="false" customHeight="false" outlineLevel="0" collapsed="false">
      <c r="A335" s="4" t="s">
        <v>67</v>
      </c>
      <c r="B335" s="4" t="s">
        <v>88</v>
      </c>
      <c r="C335" s="4" t="n">
        <v>26142</v>
      </c>
      <c r="D335" s="4" t="n">
        <v>23511</v>
      </c>
      <c r="E335" s="4" t="n">
        <v>0.899357</v>
      </c>
      <c r="F335" s="4" t="n">
        <v>9427237.45</v>
      </c>
      <c r="G335" s="4" t="n">
        <v>1008194.45</v>
      </c>
      <c r="H335" s="4" t="n">
        <v>0.074474</v>
      </c>
    </row>
    <row r="336" customFormat="false" ht="15" hidden="false" customHeight="false" outlineLevel="0" collapsed="false">
      <c r="A336" s="4" t="s">
        <v>67</v>
      </c>
      <c r="B336" s="4" t="s">
        <v>89</v>
      </c>
      <c r="C336" s="4" t="n">
        <v>16192</v>
      </c>
      <c r="D336" s="4" t="n">
        <v>13154</v>
      </c>
      <c r="E336" s="4" t="n">
        <v>0.812376</v>
      </c>
      <c r="F336" s="4" t="n">
        <v>5450229.33</v>
      </c>
      <c r="G336" s="4" t="n">
        <v>1092537.32</v>
      </c>
      <c r="H336" s="4" t="n">
        <v>0.046128</v>
      </c>
    </row>
    <row r="337" customFormat="false" ht="15" hidden="false" customHeight="false" outlineLevel="0" collapsed="false">
      <c r="A337" s="4" t="s">
        <v>67</v>
      </c>
      <c r="B337" s="4" t="s">
        <v>90</v>
      </c>
      <c r="C337" s="4" t="n">
        <v>66446</v>
      </c>
      <c r="D337" s="4" t="n">
        <v>61059</v>
      </c>
      <c r="E337" s="4" t="n">
        <v>0.918927</v>
      </c>
      <c r="F337" s="4" t="n">
        <v>22613027.32</v>
      </c>
      <c r="G337" s="4" t="n">
        <v>2004695.04</v>
      </c>
      <c r="H337" s="4" t="n">
        <v>0.189294</v>
      </c>
    </row>
    <row r="338" customFormat="false" ht="15" hidden="false" customHeight="false" outlineLevel="0" collapsed="false">
      <c r="A338" s="4" t="s">
        <v>67</v>
      </c>
      <c r="B338" s="4" t="s">
        <v>91</v>
      </c>
      <c r="C338" s="4" t="n">
        <v>15952</v>
      </c>
      <c r="D338" s="4" t="n">
        <v>14317</v>
      </c>
      <c r="E338" s="4" t="n">
        <v>0.897505</v>
      </c>
      <c r="F338" s="4" t="n">
        <v>5352763.67</v>
      </c>
      <c r="G338" s="4" t="n">
        <v>564912.23</v>
      </c>
      <c r="H338" s="4" t="n">
        <v>0.045445</v>
      </c>
    </row>
    <row r="339" customFormat="false" ht="15" hidden="false" customHeight="false" outlineLevel="0" collapsed="false">
      <c r="A339" s="4" t="s">
        <v>67</v>
      </c>
      <c r="B339" s="4" t="s">
        <v>92</v>
      </c>
      <c r="C339" s="4" t="n">
        <v>13384</v>
      </c>
      <c r="D339" s="4" t="n">
        <v>12592</v>
      </c>
      <c r="E339" s="4" t="n">
        <v>0.940825</v>
      </c>
      <c r="F339" s="4" t="n">
        <v>4501999.33</v>
      </c>
      <c r="G339" s="4" t="n">
        <v>322631.76</v>
      </c>
      <c r="H339" s="4" t="n">
        <v>0.038129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3" customFormat="false" ht="15" hidden="false" customHeight="false" outlineLevel="0" collapsed="false">
      <c r="A3" s="7" t="s">
        <v>29</v>
      </c>
      <c r="B3" s="7" t="s">
        <v>74</v>
      </c>
      <c r="C3" s="7" t="s">
        <v>36</v>
      </c>
      <c r="D3" s="7" t="s">
        <v>93</v>
      </c>
      <c r="E3" s="7" t="s">
        <v>78</v>
      </c>
      <c r="F3" s="7" t="s">
        <v>94</v>
      </c>
      <c r="G3" s="7" t="s">
        <v>95</v>
      </c>
      <c r="H3" s="7" t="s">
        <v>96</v>
      </c>
      <c r="I3" s="7" t="s">
        <v>97</v>
      </c>
      <c r="J3" s="7" t="s">
        <v>37</v>
      </c>
    </row>
    <row r="4" customFormat="false" ht="15" hidden="false" customHeight="false" outlineLevel="0" collapsed="false">
      <c r="A4" s="4" t="s">
        <v>44</v>
      </c>
      <c r="B4" s="4" t="s">
        <v>91</v>
      </c>
      <c r="C4" s="4" t="n">
        <v>0.894475</v>
      </c>
      <c r="D4" s="4" t="n">
        <v>0.900534066489698</v>
      </c>
      <c r="E4" s="4" t="n">
        <v>0.046799</v>
      </c>
      <c r="F4" s="4" t="n">
        <v>0.0460247577242442</v>
      </c>
      <c r="G4" s="4" t="n">
        <v>-0.006059</v>
      </c>
      <c r="H4" s="4" t="n">
        <v>-0.00027887</v>
      </c>
      <c r="I4" s="4" t="n">
        <v>-2.3E-005</v>
      </c>
      <c r="J4" s="4" t="n">
        <v>295479.18</v>
      </c>
    </row>
    <row r="5" customFormat="false" ht="15" hidden="false" customHeight="false" outlineLevel="0" collapsed="false">
      <c r="A5" s="4" t="s">
        <v>44</v>
      </c>
      <c r="B5" s="4" t="s">
        <v>86</v>
      </c>
      <c r="C5" s="4" t="n">
        <v>0.948441</v>
      </c>
      <c r="D5" s="4" t="n">
        <v>0.952609806545809</v>
      </c>
      <c r="E5" s="4" t="n">
        <v>0.059608</v>
      </c>
      <c r="F5" s="4" t="n">
        <v>0.0597708070622492</v>
      </c>
      <c r="G5" s="4" t="n">
        <v>-0.004169</v>
      </c>
      <c r="H5" s="4" t="n">
        <v>-0.00024917</v>
      </c>
      <c r="I5" s="4" t="n">
        <v>-3.64E-006</v>
      </c>
      <c r="J5" s="4" t="n">
        <v>198282.81</v>
      </c>
    </row>
    <row r="6" customFormat="false" ht="15" hidden="false" customHeight="false" outlineLevel="0" collapsed="false">
      <c r="A6" s="4" t="s">
        <v>44</v>
      </c>
      <c r="B6" s="4" t="s">
        <v>85</v>
      </c>
      <c r="C6" s="4" t="n">
        <v>0.942223</v>
      </c>
      <c r="D6" s="4" t="n">
        <v>0.947259891802722</v>
      </c>
      <c r="E6" s="4" t="n">
        <v>0.030571</v>
      </c>
      <c r="F6" s="4" t="n">
        <v>0.0299770341636814</v>
      </c>
      <c r="G6" s="4" t="n">
        <v>-0.005037</v>
      </c>
      <c r="H6" s="4" t="n">
        <v>-0.00015099</v>
      </c>
      <c r="I6" s="4" t="n">
        <v>1.011E-005</v>
      </c>
      <c r="J6" s="4" t="n">
        <v>97218.95</v>
      </c>
    </row>
    <row r="7" customFormat="false" ht="15" hidden="false" customHeight="false" outlineLevel="0" collapsed="false">
      <c r="A7" s="4" t="s">
        <v>44</v>
      </c>
      <c r="B7" s="4" t="s">
        <v>92</v>
      </c>
      <c r="C7" s="4" t="n">
        <v>0.942276</v>
      </c>
      <c r="D7" s="4" t="n">
        <v>0.938903293959474</v>
      </c>
      <c r="E7" s="4" t="n">
        <v>0.038187</v>
      </c>
      <c r="F7" s="4" t="n">
        <v>0.0378630863815063</v>
      </c>
      <c r="G7" s="4" t="n">
        <v>0.003373</v>
      </c>
      <c r="H7" s="4" t="n">
        <v>0.0001277</v>
      </c>
      <c r="I7" s="4" t="n">
        <v>2.81E-006</v>
      </c>
      <c r="J7" s="4" t="n">
        <v>175768.69</v>
      </c>
    </row>
    <row r="8" customFormat="false" ht="15" hidden="false" customHeight="false" outlineLevel="0" collapsed="false">
      <c r="A8" s="4" t="s">
        <v>44</v>
      </c>
      <c r="B8" s="4" t="s">
        <v>80</v>
      </c>
      <c r="C8" s="4" t="n">
        <v>0.9456</v>
      </c>
      <c r="D8" s="4" t="n">
        <v>0.946921293567527</v>
      </c>
      <c r="E8" s="4" t="n">
        <v>0.092079</v>
      </c>
      <c r="F8" s="4" t="n">
        <v>0.0925360304737304</v>
      </c>
      <c r="G8" s="4" t="n">
        <v>-0.001321</v>
      </c>
      <c r="H8" s="4" t="n">
        <v>-0.00012227</v>
      </c>
      <c r="I8" s="4" t="n">
        <v>-7.63E-006</v>
      </c>
      <c r="J8" s="4" t="n">
        <v>311507.57</v>
      </c>
    </row>
    <row r="9" customFormat="false" ht="15" hidden="false" customHeight="false" outlineLevel="0" collapsed="false">
      <c r="A9" s="4" t="s">
        <v>44</v>
      </c>
      <c r="B9" s="4" t="s">
        <v>82</v>
      </c>
      <c r="C9" s="4" t="n">
        <v>0.904229</v>
      </c>
      <c r="D9" s="4" t="n">
        <v>0.906629914405919</v>
      </c>
      <c r="E9" s="4" t="n">
        <v>0.050459</v>
      </c>
      <c r="F9" s="4" t="n">
        <v>0.0501277738265098</v>
      </c>
      <c r="G9" s="4" t="n">
        <v>-0.002401</v>
      </c>
      <c r="H9" s="4" t="n">
        <v>-0.00012035</v>
      </c>
      <c r="I9" s="4" t="n">
        <v>-7.82E-006</v>
      </c>
      <c r="J9" s="4" t="n">
        <v>261025.59</v>
      </c>
    </row>
    <row r="10" customFormat="false" ht="15" hidden="false" customHeight="false" outlineLevel="0" collapsed="false">
      <c r="A10" s="4" t="s">
        <v>44</v>
      </c>
      <c r="B10" s="4" t="s">
        <v>84</v>
      </c>
      <c r="C10" s="4" t="n">
        <v>0.956971</v>
      </c>
      <c r="D10" s="4" t="n">
        <v>0.95599886081193</v>
      </c>
      <c r="E10" s="4" t="n">
        <v>0.111487</v>
      </c>
      <c r="F10" s="4" t="n">
        <v>0.112353700059487</v>
      </c>
      <c r="G10" s="4" t="n">
        <v>0.000972</v>
      </c>
      <c r="H10" s="4" t="n">
        <v>0.00010922</v>
      </c>
      <c r="I10" s="4" t="n">
        <v>-2.233E-005</v>
      </c>
      <c r="J10" s="4" t="n">
        <v>297337.89</v>
      </c>
    </row>
    <row r="11" customFormat="false" ht="15" hidden="false" customHeight="false" outlineLevel="0" collapsed="false">
      <c r="A11" s="4" t="s">
        <v>44</v>
      </c>
      <c r="B11" s="4" t="s">
        <v>81</v>
      </c>
      <c r="C11" s="4" t="n">
        <v>0.911953</v>
      </c>
      <c r="D11" s="4" t="n">
        <v>0.910609933085884</v>
      </c>
      <c r="E11" s="4" t="n">
        <v>0.05633</v>
      </c>
      <c r="F11" s="4" t="n">
        <v>0.0566226403294049</v>
      </c>
      <c r="G11" s="4" t="n">
        <v>0.001343</v>
      </c>
      <c r="H11" s="4" t="n">
        <v>7.605E-005</v>
      </c>
      <c r="I11" s="4" t="n">
        <v>5.74E-006</v>
      </c>
      <c r="J11" s="4" t="n">
        <v>299701.56</v>
      </c>
    </row>
    <row r="12" customFormat="false" ht="15" hidden="false" customHeight="false" outlineLevel="0" collapsed="false">
      <c r="A12" s="4" t="s">
        <v>44</v>
      </c>
      <c r="B12" s="4" t="s">
        <v>87</v>
      </c>
      <c r="C12" s="4" t="n">
        <v>0.933333</v>
      </c>
      <c r="D12" s="4" t="n">
        <v>0.936150490730643</v>
      </c>
      <c r="E12" s="4" t="n">
        <v>0.026388</v>
      </c>
      <c r="F12" s="4" t="n">
        <v>0.026674695255424</v>
      </c>
      <c r="G12" s="4" t="n">
        <v>-0.002817</v>
      </c>
      <c r="H12" s="4" t="n">
        <v>-7.516E-005</v>
      </c>
      <c r="I12" s="4" t="n">
        <v>-1.7E-006</v>
      </c>
      <c r="J12" s="4" t="n">
        <v>125591.22</v>
      </c>
    </row>
    <row r="13" customFormat="false" ht="15" hidden="false" customHeight="false" outlineLevel="0" collapsed="false">
      <c r="A13" s="4" t="s">
        <v>44</v>
      </c>
      <c r="B13" s="4" t="s">
        <v>88</v>
      </c>
      <c r="C13" s="4" t="n">
        <v>0.905521</v>
      </c>
      <c r="D13" s="4" t="n">
        <v>0.904690509854531</v>
      </c>
      <c r="E13" s="4" t="n">
        <v>0.075377</v>
      </c>
      <c r="F13" s="4" t="n">
        <v>0.076637388497883</v>
      </c>
      <c r="G13" s="4" t="n">
        <v>0.00083</v>
      </c>
      <c r="H13" s="4" t="n">
        <v>6.365E-005</v>
      </c>
      <c r="I13" s="4" t="n">
        <v>3.22E-005</v>
      </c>
      <c r="J13" s="4" t="n">
        <v>428263.12</v>
      </c>
    </row>
    <row r="14" customFormat="false" ht="15" hidden="false" customHeight="false" outlineLevel="0" collapsed="false">
      <c r="A14" s="4" t="s">
        <v>44</v>
      </c>
      <c r="B14" s="4" t="s">
        <v>89</v>
      </c>
      <c r="C14" s="4" t="n">
        <v>0.86788</v>
      </c>
      <c r="D14" s="4" t="n">
        <v>0.866725671961616</v>
      </c>
      <c r="E14" s="4" t="n">
        <v>0.047378</v>
      </c>
      <c r="F14" s="4" t="n">
        <v>0.0468341616451626</v>
      </c>
      <c r="G14" s="4" t="n">
        <v>0.001154</v>
      </c>
      <c r="H14" s="4" t="n">
        <v>5.406E-005</v>
      </c>
      <c r="I14" s="4" t="n">
        <v>-3.454E-005</v>
      </c>
      <c r="J14" s="4" t="n">
        <v>323415.13</v>
      </c>
    </row>
    <row r="15" customFormat="false" ht="15" hidden="false" customHeight="false" outlineLevel="0" collapsed="false">
      <c r="A15" s="4" t="s">
        <v>44</v>
      </c>
      <c r="B15" s="4" t="s">
        <v>90</v>
      </c>
      <c r="C15" s="4" t="n">
        <v>0.917912</v>
      </c>
      <c r="D15" s="4" t="n">
        <v>0.917809352910417</v>
      </c>
      <c r="E15" s="4" t="n">
        <v>0.195802</v>
      </c>
      <c r="F15" s="4" t="n">
        <v>0.19331227283239</v>
      </c>
      <c r="G15" s="4" t="n">
        <v>0.000103</v>
      </c>
      <c r="H15" s="4" t="n">
        <v>1.984E-005</v>
      </c>
      <c r="I15" s="4" t="n">
        <v>-3.094E-005</v>
      </c>
      <c r="J15" s="4" t="n">
        <v>976856.12</v>
      </c>
    </row>
    <row r="16" customFormat="false" ht="15" hidden="false" customHeight="false" outlineLevel="0" collapsed="false">
      <c r="A16" s="4" t="s">
        <v>44</v>
      </c>
      <c r="B16" s="4" t="s">
        <v>83</v>
      </c>
      <c r="C16" s="4" t="n">
        <v>0.959056</v>
      </c>
      <c r="D16" s="4" t="n">
        <v>0.958958777157106</v>
      </c>
      <c r="E16" s="4" t="n">
        <v>0.145809</v>
      </c>
      <c r="F16" s="4" t="n">
        <v>0.148152188299495</v>
      </c>
      <c r="G16" s="4" t="n">
        <v>9.7E-005</v>
      </c>
      <c r="H16" s="4" t="n">
        <v>1.44E-005</v>
      </c>
      <c r="I16" s="4" t="n">
        <v>-6.73E-005</v>
      </c>
      <c r="J16" s="4" t="n">
        <v>360671.86</v>
      </c>
    </row>
    <row r="17" customFormat="false" ht="15" hidden="false" customHeight="false" outlineLevel="0" collapsed="false">
      <c r="A17" s="4" t="s">
        <v>44</v>
      </c>
      <c r="B17" s="4" t="s">
        <v>79</v>
      </c>
      <c r="C17" s="4" t="n">
        <v>0.928827</v>
      </c>
      <c r="D17" s="4" t="n">
        <v>0.928892804329359</v>
      </c>
      <c r="E17" s="4" t="n">
        <v>0.023725</v>
      </c>
      <c r="F17" s="4" t="n">
        <v>0.0231134634488316</v>
      </c>
      <c r="G17" s="4" t="n">
        <v>-6.6E-005</v>
      </c>
      <c r="H17" s="4" t="n">
        <v>-1.52E-006</v>
      </c>
      <c r="I17" s="4" t="n">
        <v>-8.2E-007</v>
      </c>
      <c r="J17" s="4" t="n">
        <v>95976.15</v>
      </c>
    </row>
    <row r="18" customFormat="false" ht="15" hidden="false" customHeight="false" outlineLevel="0" collapsed="false">
      <c r="A18" s="4" t="s">
        <v>45</v>
      </c>
      <c r="B18" s="4" t="s">
        <v>88</v>
      </c>
      <c r="C18" s="4" t="n">
        <v>0.908499</v>
      </c>
      <c r="D18" s="4" t="n">
        <v>0.904690509854531</v>
      </c>
      <c r="E18" s="4" t="n">
        <v>0.076646</v>
      </c>
      <c r="F18" s="4" t="n">
        <v>0.076637388497883</v>
      </c>
      <c r="G18" s="4" t="n">
        <v>0.003808</v>
      </c>
      <c r="H18" s="4" t="n">
        <v>0.00029187</v>
      </c>
      <c r="I18" s="4" t="n">
        <v>-2.2E-007</v>
      </c>
      <c r="J18" s="4" t="n">
        <v>518712.71</v>
      </c>
    </row>
    <row r="19" customFormat="false" ht="15" hidden="false" customHeight="false" outlineLevel="0" collapsed="false">
      <c r="A19" s="4" t="s">
        <v>45</v>
      </c>
      <c r="B19" s="4" t="s">
        <v>86</v>
      </c>
      <c r="C19" s="4" t="n">
        <v>0.956668</v>
      </c>
      <c r="D19" s="4" t="n">
        <v>0.952609806545809</v>
      </c>
      <c r="E19" s="4" t="n">
        <v>0.059504</v>
      </c>
      <c r="F19" s="4" t="n">
        <v>0.0597708070622492</v>
      </c>
      <c r="G19" s="4" t="n">
        <v>0.004058</v>
      </c>
      <c r="H19" s="4" t="n">
        <v>0.00024256</v>
      </c>
      <c r="I19" s="4" t="n">
        <v>-5.97E-006</v>
      </c>
      <c r="J19" s="4" t="n">
        <v>204880.46</v>
      </c>
    </row>
    <row r="20" customFormat="false" ht="15" hidden="false" customHeight="false" outlineLevel="0" collapsed="false">
      <c r="A20" s="4" t="s">
        <v>45</v>
      </c>
      <c r="B20" s="4" t="s">
        <v>87</v>
      </c>
      <c r="C20" s="4" t="n">
        <v>0.943325</v>
      </c>
      <c r="D20" s="4" t="n">
        <v>0.936150490730643</v>
      </c>
      <c r="E20" s="4" t="n">
        <v>0.02586</v>
      </c>
      <c r="F20" s="4" t="n">
        <v>0.026674695255424</v>
      </c>
      <c r="G20" s="4" t="n">
        <v>0.007175</v>
      </c>
      <c r="H20" s="4" t="n">
        <v>0.00019138</v>
      </c>
      <c r="I20" s="4" t="n">
        <v>-4.82E-006</v>
      </c>
      <c r="J20" s="4" t="n">
        <v>112474.83</v>
      </c>
    </row>
    <row r="21" customFormat="false" ht="15" hidden="false" customHeight="false" outlineLevel="0" collapsed="false">
      <c r="A21" s="4" t="s">
        <v>45</v>
      </c>
      <c r="B21" s="4" t="s">
        <v>90</v>
      </c>
      <c r="C21" s="4" t="n">
        <v>0.91879</v>
      </c>
      <c r="D21" s="4" t="n">
        <v>0.917809352910417</v>
      </c>
      <c r="E21" s="4" t="n">
        <v>0.194307</v>
      </c>
      <c r="F21" s="4" t="n">
        <v>0.19331227283239</v>
      </c>
      <c r="G21" s="4" t="n">
        <v>0.000981</v>
      </c>
      <c r="H21" s="4" t="n">
        <v>0.00018957</v>
      </c>
      <c r="I21" s="4" t="n">
        <v>-1.236E-005</v>
      </c>
      <c r="J21" s="4" t="n">
        <v>1114344.65</v>
      </c>
    </row>
    <row r="22" customFormat="false" ht="15" hidden="false" customHeight="false" outlineLevel="0" collapsed="false">
      <c r="A22" s="4" t="s">
        <v>45</v>
      </c>
      <c r="B22" s="4" t="s">
        <v>79</v>
      </c>
      <c r="C22" s="4" t="n">
        <v>0.934982</v>
      </c>
      <c r="D22" s="4" t="n">
        <v>0.928892804329359</v>
      </c>
      <c r="E22" s="4" t="n">
        <v>0.02371</v>
      </c>
      <c r="F22" s="4" t="n">
        <v>0.0231134634488316</v>
      </c>
      <c r="G22" s="4" t="n">
        <v>0.006089</v>
      </c>
      <c r="H22" s="4" t="n">
        <v>0.00014074</v>
      </c>
      <c r="I22" s="4" t="n">
        <v>-8E-007</v>
      </c>
      <c r="J22" s="4" t="n">
        <v>105193.9</v>
      </c>
    </row>
    <row r="23" customFormat="false" ht="15" hidden="false" customHeight="false" outlineLevel="0" collapsed="false">
      <c r="A23" s="4" t="s">
        <v>45</v>
      </c>
      <c r="B23" s="4" t="s">
        <v>91</v>
      </c>
      <c r="C23" s="4" t="n">
        <v>0.902788</v>
      </c>
      <c r="D23" s="4" t="n">
        <v>0.900534066489698</v>
      </c>
      <c r="E23" s="4" t="n">
        <v>0.046346</v>
      </c>
      <c r="F23" s="4" t="n">
        <v>0.0460247577242442</v>
      </c>
      <c r="G23" s="4" t="n">
        <v>0.002254</v>
      </c>
      <c r="H23" s="4" t="n">
        <v>0.00010374</v>
      </c>
      <c r="I23" s="4" t="n">
        <v>-9.54E-006</v>
      </c>
      <c r="J23" s="4" t="n">
        <v>305398.43</v>
      </c>
    </row>
    <row r="24" customFormat="false" ht="15" hidden="false" customHeight="false" outlineLevel="0" collapsed="false">
      <c r="A24" s="4" t="s">
        <v>45</v>
      </c>
      <c r="B24" s="4" t="s">
        <v>81</v>
      </c>
      <c r="C24" s="4" t="n">
        <v>0.90917</v>
      </c>
      <c r="D24" s="4" t="n">
        <v>0.910609933085884</v>
      </c>
      <c r="E24" s="4" t="n">
        <v>0.056355</v>
      </c>
      <c r="F24" s="4" t="n">
        <v>0.0566226403294049</v>
      </c>
      <c r="G24" s="4" t="n">
        <v>-0.00144</v>
      </c>
      <c r="H24" s="4" t="n">
        <v>-8.153E-005</v>
      </c>
      <c r="I24" s="4" t="n">
        <v>5.25E-006</v>
      </c>
      <c r="J24" s="4" t="n">
        <v>361467.59</v>
      </c>
    </row>
    <row r="25" customFormat="false" ht="15" hidden="false" customHeight="false" outlineLevel="0" collapsed="false">
      <c r="A25" s="4" t="s">
        <v>45</v>
      </c>
      <c r="B25" s="4" t="s">
        <v>89</v>
      </c>
      <c r="C25" s="4" t="n">
        <v>0.868388</v>
      </c>
      <c r="D25" s="4" t="n">
        <v>0.866725671961616</v>
      </c>
      <c r="E25" s="4" t="n">
        <v>0.0471</v>
      </c>
      <c r="F25" s="4" t="n">
        <v>0.0468341616451626</v>
      </c>
      <c r="G25" s="4" t="n">
        <v>0.001662</v>
      </c>
      <c r="H25" s="4" t="n">
        <v>7.785E-005</v>
      </c>
      <c r="I25" s="4" t="n">
        <v>-1.688E-005</v>
      </c>
      <c r="J25" s="4" t="n">
        <v>445430.43</v>
      </c>
    </row>
    <row r="26" customFormat="false" ht="15" hidden="false" customHeight="false" outlineLevel="0" collapsed="false">
      <c r="A26" s="4" t="s">
        <v>45</v>
      </c>
      <c r="B26" s="4" t="s">
        <v>83</v>
      </c>
      <c r="C26" s="4" t="n">
        <v>0.958459</v>
      </c>
      <c r="D26" s="4" t="n">
        <v>0.958958777157106</v>
      </c>
      <c r="E26" s="4" t="n">
        <v>0.147527</v>
      </c>
      <c r="F26" s="4" t="n">
        <v>0.148152188299495</v>
      </c>
      <c r="G26" s="4" t="n">
        <v>-0.0005</v>
      </c>
      <c r="H26" s="4" t="n">
        <v>-7.404E-005</v>
      </c>
      <c r="I26" s="4" t="n">
        <v>-1.796E-005</v>
      </c>
      <c r="J26" s="4" t="n">
        <v>515771.22</v>
      </c>
    </row>
    <row r="27" customFormat="false" ht="15" hidden="false" customHeight="false" outlineLevel="0" collapsed="false">
      <c r="A27" s="4" t="s">
        <v>45</v>
      </c>
      <c r="B27" s="4" t="s">
        <v>82</v>
      </c>
      <c r="C27" s="4" t="n">
        <v>0.905376</v>
      </c>
      <c r="D27" s="4" t="n">
        <v>0.906629914405919</v>
      </c>
      <c r="E27" s="4" t="n">
        <v>0.049277</v>
      </c>
      <c r="F27" s="4" t="n">
        <v>0.0501277738265098</v>
      </c>
      <c r="G27" s="4" t="n">
        <v>-0.001254</v>
      </c>
      <c r="H27" s="4" t="n">
        <v>-6.286E-005</v>
      </c>
      <c r="I27" s="4" t="n">
        <v>2.008E-005</v>
      </c>
      <c r="J27" s="4" t="n">
        <v>327382.07</v>
      </c>
    </row>
    <row r="28" customFormat="false" ht="15" hidden="false" customHeight="false" outlineLevel="0" collapsed="false">
      <c r="A28" s="4" t="s">
        <v>45</v>
      </c>
      <c r="B28" s="4" t="s">
        <v>92</v>
      </c>
      <c r="C28" s="4" t="n">
        <v>0.937807</v>
      </c>
      <c r="D28" s="4" t="n">
        <v>0.938903293959474</v>
      </c>
      <c r="E28" s="4" t="n">
        <v>0.03753</v>
      </c>
      <c r="F28" s="4" t="n">
        <v>0.0378630863815063</v>
      </c>
      <c r="G28" s="4" t="n">
        <v>-0.001096</v>
      </c>
      <c r="H28" s="4" t="n">
        <v>-4.151E-005</v>
      </c>
      <c r="I28" s="4" t="n">
        <v>-2.89E-006</v>
      </c>
      <c r="J28" s="4" t="n">
        <v>173840.67</v>
      </c>
    </row>
    <row r="29" customFormat="false" ht="15" hidden="false" customHeight="false" outlineLevel="0" collapsed="false">
      <c r="A29" s="4" t="s">
        <v>45</v>
      </c>
      <c r="B29" s="4" t="s">
        <v>85</v>
      </c>
      <c r="C29" s="4" t="n">
        <v>0.94637</v>
      </c>
      <c r="D29" s="4" t="n">
        <v>0.947259891802722</v>
      </c>
      <c r="E29" s="4" t="n">
        <v>0.029757</v>
      </c>
      <c r="F29" s="4" t="n">
        <v>0.0299770341636814</v>
      </c>
      <c r="G29" s="4" t="n">
        <v>-0.00089</v>
      </c>
      <c r="H29" s="4" t="n">
        <v>-2.668E-005</v>
      </c>
      <c r="I29" s="4" t="n">
        <v>-3.75E-006</v>
      </c>
      <c r="J29" s="4" t="n">
        <v>104642.07</v>
      </c>
    </row>
    <row r="30" customFormat="false" ht="15" hidden="false" customHeight="false" outlineLevel="0" collapsed="false">
      <c r="A30" s="4" t="s">
        <v>45</v>
      </c>
      <c r="B30" s="4" t="s">
        <v>80</v>
      </c>
      <c r="C30" s="4" t="n">
        <v>0.947197</v>
      </c>
      <c r="D30" s="4" t="n">
        <v>0.946921293567527</v>
      </c>
      <c r="E30" s="4" t="n">
        <v>0.093343</v>
      </c>
      <c r="F30" s="4" t="n">
        <v>0.0925360304737304</v>
      </c>
      <c r="G30" s="4" t="n">
        <v>0.000276</v>
      </c>
      <c r="H30" s="4" t="n">
        <v>2.551E-005</v>
      </c>
      <c r="I30" s="4" t="n">
        <v>1.346E-005</v>
      </c>
      <c r="J30" s="4" t="n">
        <v>353542.39</v>
      </c>
    </row>
    <row r="31" customFormat="false" ht="15" hidden="false" customHeight="false" outlineLevel="0" collapsed="false">
      <c r="A31" s="4" t="s">
        <v>45</v>
      </c>
      <c r="B31" s="4" t="s">
        <v>84</v>
      </c>
      <c r="C31" s="4" t="n">
        <v>0.955848</v>
      </c>
      <c r="D31" s="4" t="n">
        <v>0.95599886081193</v>
      </c>
      <c r="E31" s="4" t="n">
        <v>0.112738</v>
      </c>
      <c r="F31" s="4" t="n">
        <v>0.112353700059487</v>
      </c>
      <c r="G31" s="4" t="n">
        <v>-0.000151</v>
      </c>
      <c r="H31" s="4" t="n">
        <v>-1.695E-005</v>
      </c>
      <c r="I31" s="4" t="n">
        <v>9.9E-006</v>
      </c>
      <c r="J31" s="4" t="n">
        <v>363092.68</v>
      </c>
    </row>
    <row r="32" customFormat="false" ht="15" hidden="false" customHeight="false" outlineLevel="0" collapsed="false">
      <c r="A32" s="4" t="s">
        <v>46</v>
      </c>
      <c r="B32" s="4" t="s">
        <v>90</v>
      </c>
      <c r="C32" s="4" t="n">
        <v>0.916319</v>
      </c>
      <c r="D32" s="4" t="n">
        <v>0.917809352910417</v>
      </c>
      <c r="E32" s="4" t="n">
        <v>0.192879</v>
      </c>
      <c r="F32" s="4" t="n">
        <v>0.19331227283239</v>
      </c>
      <c r="G32" s="4" t="n">
        <v>-0.00149</v>
      </c>
      <c r="H32" s="4" t="n">
        <v>-0.0002881</v>
      </c>
      <c r="I32" s="4" t="n">
        <v>5.38E-006</v>
      </c>
      <c r="J32" s="4" t="n">
        <v>1536721.93</v>
      </c>
    </row>
    <row r="33" customFormat="false" ht="15" hidden="false" customHeight="false" outlineLevel="0" collapsed="false">
      <c r="A33" s="4" t="s">
        <v>46</v>
      </c>
      <c r="B33" s="4" t="s">
        <v>83</v>
      </c>
      <c r="C33" s="4" t="n">
        <v>0.960093</v>
      </c>
      <c r="D33" s="4" t="n">
        <v>0.958958777157106</v>
      </c>
      <c r="E33" s="4" t="n">
        <v>0.148117</v>
      </c>
      <c r="F33" s="4" t="n">
        <v>0.148152188299495</v>
      </c>
      <c r="G33" s="4" t="n">
        <v>0.001134</v>
      </c>
      <c r="H33" s="4" t="n">
        <v>0.00016804</v>
      </c>
      <c r="I33" s="4" t="n">
        <v>-1.01E-006</v>
      </c>
      <c r="J33" s="4" t="n">
        <v>685352.68</v>
      </c>
    </row>
    <row r="34" customFormat="false" ht="15" hidden="false" customHeight="false" outlineLevel="0" collapsed="false">
      <c r="A34" s="4" t="s">
        <v>46</v>
      </c>
      <c r="B34" s="4" t="s">
        <v>80</v>
      </c>
      <c r="C34" s="4" t="n">
        <v>0.948249</v>
      </c>
      <c r="D34" s="4" t="n">
        <v>0.946921293567527</v>
      </c>
      <c r="E34" s="4" t="n">
        <v>0.092845</v>
      </c>
      <c r="F34" s="4" t="n">
        <v>0.0925360304737304</v>
      </c>
      <c r="G34" s="4" t="n">
        <v>0.001328</v>
      </c>
      <c r="H34" s="4" t="n">
        <v>0.00012286</v>
      </c>
      <c r="I34" s="4" t="n">
        <v>5.16E-006</v>
      </c>
      <c r="J34" s="4" t="n">
        <v>501603.21</v>
      </c>
    </row>
    <row r="35" customFormat="false" ht="15" hidden="false" customHeight="false" outlineLevel="0" collapsed="false">
      <c r="A35" s="4" t="s">
        <v>46</v>
      </c>
      <c r="B35" s="4" t="s">
        <v>91</v>
      </c>
      <c r="C35" s="4" t="n">
        <v>0.898357</v>
      </c>
      <c r="D35" s="4" t="n">
        <v>0.900534066489698</v>
      </c>
      <c r="E35" s="4" t="n">
        <v>0.045844</v>
      </c>
      <c r="F35" s="4" t="n">
        <v>0.0460247577242442</v>
      </c>
      <c r="G35" s="4" t="n">
        <v>-0.002177</v>
      </c>
      <c r="H35" s="4" t="n">
        <v>-0.0001002</v>
      </c>
      <c r="I35" s="4" t="n">
        <v>5.37E-006</v>
      </c>
      <c r="J35" s="4" t="n">
        <v>429922.54</v>
      </c>
    </row>
    <row r="36" customFormat="false" ht="15" hidden="false" customHeight="false" outlineLevel="0" collapsed="false">
      <c r="A36" s="4" t="s">
        <v>46</v>
      </c>
      <c r="B36" s="4" t="s">
        <v>87</v>
      </c>
      <c r="C36" s="4" t="n">
        <v>0.939666</v>
      </c>
      <c r="D36" s="4" t="n">
        <v>0.936150490730643</v>
      </c>
      <c r="E36" s="4" t="n">
        <v>0.027044</v>
      </c>
      <c r="F36" s="4" t="n">
        <v>0.026674695255424</v>
      </c>
      <c r="G36" s="4" t="n">
        <v>0.003516</v>
      </c>
      <c r="H36" s="4" t="n">
        <v>9.378E-005</v>
      </c>
      <c r="I36" s="4" t="n">
        <v>2.18E-006</v>
      </c>
      <c r="J36" s="4" t="n">
        <v>160939.06</v>
      </c>
    </row>
    <row r="37" customFormat="false" ht="15" hidden="false" customHeight="false" outlineLevel="0" collapsed="false">
      <c r="A37" s="4" t="s">
        <v>46</v>
      </c>
      <c r="B37" s="4" t="s">
        <v>84</v>
      </c>
      <c r="C37" s="4" t="n">
        <v>0.955254</v>
      </c>
      <c r="D37" s="4" t="n">
        <v>0.95599886081193</v>
      </c>
      <c r="E37" s="4" t="n">
        <v>0.112989</v>
      </c>
      <c r="F37" s="4" t="n">
        <v>0.112353700059487</v>
      </c>
      <c r="G37" s="4" t="n">
        <v>-0.000745</v>
      </c>
      <c r="H37" s="4" t="n">
        <v>-8.369E-005</v>
      </c>
      <c r="I37" s="4" t="n">
        <v>1.637E-005</v>
      </c>
      <c r="J37" s="4" t="n">
        <v>551186.24</v>
      </c>
    </row>
    <row r="38" customFormat="false" ht="15" hidden="false" customHeight="false" outlineLevel="0" collapsed="false">
      <c r="A38" s="4" t="s">
        <v>46</v>
      </c>
      <c r="B38" s="4" t="s">
        <v>81</v>
      </c>
      <c r="C38" s="4" t="n">
        <v>0.911797</v>
      </c>
      <c r="D38" s="4" t="n">
        <v>0.910609933085884</v>
      </c>
      <c r="E38" s="4" t="n">
        <v>0.056387</v>
      </c>
      <c r="F38" s="4" t="n">
        <v>0.0566226403294049</v>
      </c>
      <c r="G38" s="4" t="n">
        <v>0.001187</v>
      </c>
      <c r="H38" s="4" t="n">
        <v>6.721E-005</v>
      </c>
      <c r="I38" s="4" t="n">
        <v>4.62E-006</v>
      </c>
      <c r="J38" s="4" t="n">
        <v>495288.92</v>
      </c>
    </row>
    <row r="39" customFormat="false" ht="15" hidden="false" customHeight="false" outlineLevel="0" collapsed="false">
      <c r="A39" s="4" t="s">
        <v>46</v>
      </c>
      <c r="B39" s="4" t="s">
        <v>89</v>
      </c>
      <c r="C39" s="4" t="n">
        <v>0.865436</v>
      </c>
      <c r="D39" s="4" t="n">
        <v>0.866725671961616</v>
      </c>
      <c r="E39" s="4" t="n">
        <v>0.046754</v>
      </c>
      <c r="F39" s="4" t="n">
        <v>0.0468341616451626</v>
      </c>
      <c r="G39" s="4" t="n">
        <v>-0.00129</v>
      </c>
      <c r="H39" s="4" t="n">
        <v>-6.04E-005</v>
      </c>
      <c r="I39" s="4" t="n">
        <v>5.09E-006</v>
      </c>
      <c r="J39" s="4" t="n">
        <v>587013.55</v>
      </c>
    </row>
    <row r="40" customFormat="false" ht="15" hidden="false" customHeight="false" outlineLevel="0" collapsed="false">
      <c r="A40" s="4" t="s">
        <v>46</v>
      </c>
      <c r="B40" s="4" t="s">
        <v>79</v>
      </c>
      <c r="C40" s="4" t="n">
        <v>0.92693</v>
      </c>
      <c r="D40" s="4" t="n">
        <v>0.928892804329359</v>
      </c>
      <c r="E40" s="4" t="n">
        <v>0.022706</v>
      </c>
      <c r="F40" s="4" t="n">
        <v>0.0231134634488316</v>
      </c>
      <c r="G40" s="4" t="n">
        <v>-0.001963</v>
      </c>
      <c r="H40" s="4" t="n">
        <v>-4.537E-005</v>
      </c>
      <c r="I40" s="4" t="n">
        <v>5.5E-007</v>
      </c>
      <c r="J40" s="4" t="n">
        <v>184372.35</v>
      </c>
    </row>
    <row r="41" customFormat="false" ht="15" hidden="false" customHeight="false" outlineLevel="0" collapsed="false">
      <c r="A41" s="4" t="s">
        <v>46</v>
      </c>
      <c r="B41" s="4" t="s">
        <v>85</v>
      </c>
      <c r="C41" s="4" t="n">
        <v>0.948583</v>
      </c>
      <c r="D41" s="4" t="n">
        <v>0.947259891802722</v>
      </c>
      <c r="E41" s="4" t="n">
        <v>0.029751</v>
      </c>
      <c r="F41" s="4" t="n">
        <v>0.0299770341636814</v>
      </c>
      <c r="G41" s="4" t="n">
        <v>0.001323</v>
      </c>
      <c r="H41" s="4" t="n">
        <v>3.966E-005</v>
      </c>
      <c r="I41" s="4" t="n">
        <v>-3.85E-006</v>
      </c>
      <c r="J41" s="4" t="n">
        <v>170407.22</v>
      </c>
    </row>
    <row r="42" customFormat="false" ht="15" hidden="false" customHeight="false" outlineLevel="0" collapsed="false">
      <c r="A42" s="4" t="s">
        <v>46</v>
      </c>
      <c r="B42" s="4" t="s">
        <v>82</v>
      </c>
      <c r="C42" s="4" t="n">
        <v>0.905875</v>
      </c>
      <c r="D42" s="4" t="n">
        <v>0.906629914405919</v>
      </c>
      <c r="E42" s="4" t="n">
        <v>0.051339</v>
      </c>
      <c r="F42" s="4" t="n">
        <v>0.0501277738265098</v>
      </c>
      <c r="G42" s="4" t="n">
        <v>-0.000755</v>
      </c>
      <c r="H42" s="4" t="n">
        <v>-3.784E-005</v>
      </c>
      <c r="I42" s="4" t="n">
        <v>-2.859E-005</v>
      </c>
      <c r="J42" s="4" t="n">
        <v>464952.51</v>
      </c>
    </row>
    <row r="43" customFormat="false" ht="15" hidden="false" customHeight="false" outlineLevel="0" collapsed="false">
      <c r="A43" s="4" t="s">
        <v>46</v>
      </c>
      <c r="B43" s="4" t="s">
        <v>88</v>
      </c>
      <c r="C43" s="4" t="n">
        <v>0.904213</v>
      </c>
      <c r="D43" s="4" t="n">
        <v>0.904690509854531</v>
      </c>
      <c r="E43" s="4" t="n">
        <v>0.076245</v>
      </c>
      <c r="F43" s="4" t="n">
        <v>0.076637388497883</v>
      </c>
      <c r="G43" s="4" t="n">
        <v>-0.000478</v>
      </c>
      <c r="H43" s="4" t="n">
        <v>-3.66E-005</v>
      </c>
      <c r="I43" s="4" t="n">
        <v>1.002E-005</v>
      </c>
      <c r="J43" s="4" t="n">
        <v>805756.62</v>
      </c>
    </row>
    <row r="44" customFormat="false" ht="15" hidden="false" customHeight="false" outlineLevel="0" collapsed="false">
      <c r="A44" s="4" t="s">
        <v>46</v>
      </c>
      <c r="B44" s="4" t="s">
        <v>86</v>
      </c>
      <c r="C44" s="4" t="n">
        <v>0.952647</v>
      </c>
      <c r="D44" s="4" t="n">
        <v>0.952609806545809</v>
      </c>
      <c r="E44" s="4" t="n">
        <v>0.059638</v>
      </c>
      <c r="F44" s="4" t="n">
        <v>0.0597708070622492</v>
      </c>
      <c r="G44" s="4" t="n">
        <v>3.7E-005</v>
      </c>
      <c r="H44" s="4" t="n">
        <v>2.22E-006</v>
      </c>
      <c r="I44" s="4" t="n">
        <v>-2.97E-006</v>
      </c>
      <c r="J44" s="4" t="n">
        <v>282937.63</v>
      </c>
    </row>
    <row r="45" customFormat="false" ht="15" hidden="false" customHeight="false" outlineLevel="0" collapsed="false">
      <c r="A45" s="4" t="s">
        <v>46</v>
      </c>
      <c r="B45" s="4" t="s">
        <v>92</v>
      </c>
      <c r="C45" s="4" t="n">
        <v>0.938855</v>
      </c>
      <c r="D45" s="4" t="n">
        <v>0.938903293959474</v>
      </c>
      <c r="E45" s="4" t="n">
        <v>0.037462</v>
      </c>
      <c r="F45" s="4" t="n">
        <v>0.0378630863815063</v>
      </c>
      <c r="G45" s="4" t="n">
        <v>-4.8E-005</v>
      </c>
      <c r="H45" s="4" t="n">
        <v>-1.83E-006</v>
      </c>
      <c r="I45" s="4" t="n">
        <v>-3.48E-006</v>
      </c>
      <c r="J45" s="4" t="n">
        <v>221144.69</v>
      </c>
    </row>
    <row r="46" customFormat="false" ht="15" hidden="false" customHeight="false" outlineLevel="0" collapsed="false">
      <c r="A46" s="4" t="s">
        <v>47</v>
      </c>
      <c r="B46" s="4" t="s">
        <v>91</v>
      </c>
      <c r="C46" s="4" t="n">
        <v>0.90442</v>
      </c>
      <c r="D46" s="4" t="n">
        <v>0.900534066489698</v>
      </c>
      <c r="E46" s="4" t="n">
        <v>0.045219</v>
      </c>
      <c r="F46" s="4" t="n">
        <v>0.0460247577242442</v>
      </c>
      <c r="G46" s="4" t="n">
        <v>0.003886</v>
      </c>
      <c r="H46" s="4" t="n">
        <v>0.00017885</v>
      </c>
      <c r="I46" s="4" t="n">
        <v>2.393E-005</v>
      </c>
      <c r="J46" s="4" t="n">
        <v>454159.83</v>
      </c>
    </row>
    <row r="47" customFormat="false" ht="15" hidden="false" customHeight="false" outlineLevel="0" collapsed="false">
      <c r="A47" s="4" t="s">
        <v>47</v>
      </c>
      <c r="B47" s="4" t="s">
        <v>87</v>
      </c>
      <c r="C47" s="4" t="n">
        <v>0.9302</v>
      </c>
      <c r="D47" s="4" t="n">
        <v>0.936150490730643</v>
      </c>
      <c r="E47" s="4" t="n">
        <v>0.026363</v>
      </c>
      <c r="F47" s="4" t="n">
        <v>0.026674695255424</v>
      </c>
      <c r="G47" s="4" t="n">
        <v>-0.00595</v>
      </c>
      <c r="H47" s="4" t="n">
        <v>-0.00015873</v>
      </c>
      <c r="I47" s="4" t="n">
        <v>-1.84E-006</v>
      </c>
      <c r="J47" s="4" t="n">
        <v>188155.92</v>
      </c>
    </row>
    <row r="48" customFormat="false" ht="15" hidden="false" customHeight="false" outlineLevel="0" collapsed="false">
      <c r="A48" s="4" t="s">
        <v>47</v>
      </c>
      <c r="B48" s="4" t="s">
        <v>80</v>
      </c>
      <c r="C48" s="4" t="n">
        <v>0.948403</v>
      </c>
      <c r="D48" s="4" t="n">
        <v>0.946921293567527</v>
      </c>
      <c r="E48" s="4" t="n">
        <v>0.093771</v>
      </c>
      <c r="F48" s="4" t="n">
        <v>0.0925360304737304</v>
      </c>
      <c r="G48" s="4" t="n">
        <v>0.001482</v>
      </c>
      <c r="H48" s="4" t="n">
        <v>0.00013711</v>
      </c>
      <c r="I48" s="4" t="n">
        <v>2.061E-005</v>
      </c>
      <c r="J48" s="4" t="n">
        <v>556605.65</v>
      </c>
    </row>
    <row r="49" customFormat="false" ht="15" hidden="false" customHeight="false" outlineLevel="0" collapsed="false">
      <c r="A49" s="4" t="s">
        <v>47</v>
      </c>
      <c r="B49" s="4" t="s">
        <v>83</v>
      </c>
      <c r="C49" s="4" t="n">
        <v>0.959827</v>
      </c>
      <c r="D49" s="4" t="n">
        <v>0.958958777157106</v>
      </c>
      <c r="E49" s="4" t="n">
        <v>0.148526</v>
      </c>
      <c r="F49" s="4" t="n">
        <v>0.148152188299495</v>
      </c>
      <c r="G49" s="4" t="n">
        <v>0.000868</v>
      </c>
      <c r="H49" s="4" t="n">
        <v>0.00012863</v>
      </c>
      <c r="I49" s="4" t="n">
        <v>1.074E-005</v>
      </c>
      <c r="J49" s="4" t="n">
        <v>661732.45</v>
      </c>
    </row>
    <row r="50" customFormat="false" ht="15" hidden="false" customHeight="false" outlineLevel="0" collapsed="false">
      <c r="A50" s="4" t="s">
        <v>47</v>
      </c>
      <c r="B50" s="4" t="s">
        <v>85</v>
      </c>
      <c r="C50" s="4" t="n">
        <v>0.943039</v>
      </c>
      <c r="D50" s="4" t="n">
        <v>0.947259891802722</v>
      </c>
      <c r="E50" s="4" t="n">
        <v>0.029586</v>
      </c>
      <c r="F50" s="4" t="n">
        <v>0.0299770341636814</v>
      </c>
      <c r="G50" s="4" t="n">
        <v>-0.004221</v>
      </c>
      <c r="H50" s="4" t="n">
        <v>-0.00012653</v>
      </c>
      <c r="I50" s="4" t="n">
        <v>-6.66E-006</v>
      </c>
      <c r="J50" s="4" t="n">
        <v>167497.27</v>
      </c>
    </row>
    <row r="51" customFormat="false" ht="15" hidden="false" customHeight="false" outlineLevel="0" collapsed="false">
      <c r="A51" s="4" t="s">
        <v>47</v>
      </c>
      <c r="B51" s="4" t="s">
        <v>90</v>
      </c>
      <c r="C51" s="4" t="n">
        <v>0.917201</v>
      </c>
      <c r="D51" s="4" t="n">
        <v>0.917809352910417</v>
      </c>
      <c r="E51" s="4" t="n">
        <v>0.192805</v>
      </c>
      <c r="F51" s="4" t="n">
        <v>0.19331227283239</v>
      </c>
      <c r="G51" s="4" t="n">
        <v>-0.000608</v>
      </c>
      <c r="H51" s="4" t="n">
        <v>-0.0001176</v>
      </c>
      <c r="I51" s="4" t="n">
        <v>6.3E-006</v>
      </c>
      <c r="J51" s="4" t="n">
        <v>1644414.91</v>
      </c>
    </row>
    <row r="52" customFormat="false" ht="15" hidden="false" customHeight="false" outlineLevel="0" collapsed="false">
      <c r="A52" s="4" t="s">
        <v>47</v>
      </c>
      <c r="B52" s="4" t="s">
        <v>89</v>
      </c>
      <c r="C52" s="4" t="n">
        <v>0.864272</v>
      </c>
      <c r="D52" s="4" t="n">
        <v>0.866725671961616</v>
      </c>
      <c r="E52" s="4" t="n">
        <v>0.046406</v>
      </c>
      <c r="F52" s="4" t="n">
        <v>0.0468341616451626</v>
      </c>
      <c r="G52" s="4" t="n">
        <v>-0.002454</v>
      </c>
      <c r="H52" s="4" t="n">
        <v>-0.00011492</v>
      </c>
      <c r="I52" s="4" t="n">
        <v>2.719E-005</v>
      </c>
      <c r="J52" s="4" t="n">
        <v>572097.85</v>
      </c>
    </row>
    <row r="53" customFormat="false" ht="15" hidden="false" customHeight="false" outlineLevel="0" collapsed="false">
      <c r="A53" s="4" t="s">
        <v>47</v>
      </c>
      <c r="B53" s="4" t="s">
        <v>88</v>
      </c>
      <c r="C53" s="4" t="n">
        <v>0.903269</v>
      </c>
      <c r="D53" s="4" t="n">
        <v>0.904690509854531</v>
      </c>
      <c r="E53" s="4" t="n">
        <v>0.077733</v>
      </c>
      <c r="F53" s="4" t="n">
        <v>0.076637388497883</v>
      </c>
      <c r="G53" s="4" t="n">
        <v>-0.001422</v>
      </c>
      <c r="H53" s="4" t="n">
        <v>-0.00010894</v>
      </c>
      <c r="I53" s="4" t="n">
        <v>-2.799E-005</v>
      </c>
      <c r="J53" s="4" t="n">
        <v>836445.83</v>
      </c>
    </row>
    <row r="54" customFormat="false" ht="15" hidden="false" customHeight="false" outlineLevel="0" collapsed="false">
      <c r="A54" s="4" t="s">
        <v>47</v>
      </c>
      <c r="B54" s="4" t="s">
        <v>92</v>
      </c>
      <c r="C54" s="4" t="n">
        <v>0.93829</v>
      </c>
      <c r="D54" s="4" t="n">
        <v>0.938903293959474</v>
      </c>
      <c r="E54" s="4" t="n">
        <v>0.037648</v>
      </c>
      <c r="F54" s="4" t="n">
        <v>0.0378630863815063</v>
      </c>
      <c r="G54" s="4" t="n">
        <v>-0.000613</v>
      </c>
      <c r="H54" s="4" t="n">
        <v>-2.322E-005</v>
      </c>
      <c r="I54" s="4" t="n">
        <v>-1.86E-006</v>
      </c>
      <c r="J54" s="4" t="n">
        <v>244495.32</v>
      </c>
    </row>
    <row r="55" customFormat="false" ht="15" hidden="false" customHeight="false" outlineLevel="0" collapsed="false">
      <c r="A55" s="4" t="s">
        <v>47</v>
      </c>
      <c r="B55" s="4" t="s">
        <v>84</v>
      </c>
      <c r="C55" s="4" t="n">
        <v>0.956144</v>
      </c>
      <c r="D55" s="4" t="n">
        <v>0.95599886081193</v>
      </c>
      <c r="E55" s="4" t="n">
        <v>0.112339</v>
      </c>
      <c r="F55" s="4" t="n">
        <v>0.112353700059487</v>
      </c>
      <c r="G55" s="4" t="n">
        <v>0.000145</v>
      </c>
      <c r="H55" s="4" t="n">
        <v>1.631E-005</v>
      </c>
      <c r="I55" s="4" t="n">
        <v>-3.8E-007</v>
      </c>
      <c r="J55" s="4" t="n">
        <v>501473.32</v>
      </c>
    </row>
    <row r="56" customFormat="false" ht="15" hidden="false" customHeight="false" outlineLevel="0" collapsed="false">
      <c r="A56" s="4" t="s">
        <v>47</v>
      </c>
      <c r="B56" s="4" t="s">
        <v>82</v>
      </c>
      <c r="C56" s="4" t="n">
        <v>0.906876</v>
      </c>
      <c r="D56" s="4" t="n">
        <v>0.906629914405919</v>
      </c>
      <c r="E56" s="4" t="n">
        <v>0.0495</v>
      </c>
      <c r="F56" s="4" t="n">
        <v>0.0501277738265098</v>
      </c>
      <c r="G56" s="4" t="n">
        <v>0.000246</v>
      </c>
      <c r="H56" s="4" t="n">
        <v>1.234E-005</v>
      </c>
      <c r="I56" s="4" t="n">
        <v>1.482E-005</v>
      </c>
      <c r="J56" s="4" t="n">
        <v>425692.91</v>
      </c>
    </row>
    <row r="57" customFormat="false" ht="15" hidden="false" customHeight="false" outlineLevel="0" collapsed="false">
      <c r="A57" s="4" t="s">
        <v>47</v>
      </c>
      <c r="B57" s="4" t="s">
        <v>79</v>
      </c>
      <c r="C57" s="4" t="n">
        <v>0.928391</v>
      </c>
      <c r="D57" s="4" t="n">
        <v>0.928892804329359</v>
      </c>
      <c r="E57" s="4" t="n">
        <v>0.023328</v>
      </c>
      <c r="F57" s="4" t="n">
        <v>0.0231134634488316</v>
      </c>
      <c r="G57" s="4" t="n">
        <v>-0.000502</v>
      </c>
      <c r="H57" s="4" t="n">
        <v>-1.16E-005</v>
      </c>
      <c r="I57" s="4" t="n">
        <v>-2.9E-007</v>
      </c>
      <c r="J57" s="4" t="n">
        <v>173527.15</v>
      </c>
    </row>
    <row r="58" customFormat="false" ht="15" hidden="false" customHeight="false" outlineLevel="0" collapsed="false">
      <c r="A58" s="4" t="s">
        <v>47</v>
      </c>
      <c r="B58" s="4" t="s">
        <v>81</v>
      </c>
      <c r="C58" s="4" t="n">
        <v>0.910798</v>
      </c>
      <c r="D58" s="4" t="n">
        <v>0.910609933085884</v>
      </c>
      <c r="E58" s="4" t="n">
        <v>0.056761</v>
      </c>
      <c r="F58" s="4" t="n">
        <v>0.0566226403294049</v>
      </c>
      <c r="G58" s="4" t="n">
        <v>0.000188</v>
      </c>
      <c r="H58" s="4" t="n">
        <v>1.065E-005</v>
      </c>
      <c r="I58" s="4" t="n">
        <v>-2.72E-006</v>
      </c>
      <c r="J58" s="4" t="n">
        <v>537398.33</v>
      </c>
    </row>
    <row r="59" customFormat="false" ht="15" hidden="false" customHeight="false" outlineLevel="0" collapsed="false">
      <c r="A59" s="4" t="s">
        <v>47</v>
      </c>
      <c r="B59" s="4" t="s">
        <v>86</v>
      </c>
      <c r="C59" s="4" t="n">
        <v>0.952747</v>
      </c>
      <c r="D59" s="4" t="n">
        <v>0.952609806545809</v>
      </c>
      <c r="E59" s="4" t="n">
        <v>0.060014</v>
      </c>
      <c r="F59" s="4" t="n">
        <v>0.0597708070622492</v>
      </c>
      <c r="G59" s="4" t="n">
        <v>0.000137</v>
      </c>
      <c r="H59" s="4" t="n">
        <v>8.2E-006</v>
      </c>
      <c r="I59" s="4" t="n">
        <v>5.44E-006</v>
      </c>
      <c r="J59" s="4" t="n">
        <v>346199.69</v>
      </c>
    </row>
    <row r="60" customFormat="false" ht="15" hidden="false" customHeight="false" outlineLevel="0" collapsed="false">
      <c r="A60" s="4" t="s">
        <v>48</v>
      </c>
      <c r="B60" s="4" t="s">
        <v>88</v>
      </c>
      <c r="C60" s="4" t="n">
        <v>0.900063</v>
      </c>
      <c r="D60" s="4" t="n">
        <v>0.904690509854531</v>
      </c>
      <c r="E60" s="4" t="n">
        <v>0.076282</v>
      </c>
      <c r="F60" s="4" t="n">
        <v>0.076637388497883</v>
      </c>
      <c r="G60" s="4" t="n">
        <v>-0.004628</v>
      </c>
      <c r="H60" s="4" t="n">
        <v>-0.00035464</v>
      </c>
      <c r="I60" s="4" t="n">
        <v>9.08E-006</v>
      </c>
      <c r="J60" s="4" t="n">
        <v>847694.7</v>
      </c>
    </row>
    <row r="61" customFormat="false" ht="15" hidden="false" customHeight="false" outlineLevel="0" collapsed="false">
      <c r="A61" s="4" t="s">
        <v>48</v>
      </c>
      <c r="B61" s="4" t="s">
        <v>91</v>
      </c>
      <c r="C61" s="4" t="n">
        <v>0.905614</v>
      </c>
      <c r="D61" s="4" t="n">
        <v>0.900534066489698</v>
      </c>
      <c r="E61" s="4" t="n">
        <v>0.046449</v>
      </c>
      <c r="F61" s="4" t="n">
        <v>0.0460247577242442</v>
      </c>
      <c r="G61" s="4" t="n">
        <v>0.00508</v>
      </c>
      <c r="H61" s="4" t="n">
        <v>0.0002338</v>
      </c>
      <c r="I61" s="4" t="n">
        <v>-1.26E-005</v>
      </c>
      <c r="J61" s="4" t="n">
        <v>403161.9</v>
      </c>
    </row>
    <row r="62" customFormat="false" ht="15" hidden="false" customHeight="false" outlineLevel="0" collapsed="false">
      <c r="A62" s="4" t="s">
        <v>48</v>
      </c>
      <c r="B62" s="4" t="s">
        <v>80</v>
      </c>
      <c r="C62" s="4" t="n">
        <v>0.944927</v>
      </c>
      <c r="D62" s="4" t="n">
        <v>0.946921293567527</v>
      </c>
      <c r="E62" s="4" t="n">
        <v>0.091813</v>
      </c>
      <c r="F62" s="4" t="n">
        <v>0.0925360304737304</v>
      </c>
      <c r="G62" s="4" t="n">
        <v>-0.001994</v>
      </c>
      <c r="H62" s="4" t="n">
        <v>-0.00018454</v>
      </c>
      <c r="I62" s="4" t="n">
        <v>-1.206E-005</v>
      </c>
      <c r="J62" s="4" t="n">
        <v>594765.18</v>
      </c>
    </row>
    <row r="63" customFormat="false" ht="15" hidden="false" customHeight="false" outlineLevel="0" collapsed="false">
      <c r="A63" s="4" t="s">
        <v>48</v>
      </c>
      <c r="B63" s="4" t="s">
        <v>82</v>
      </c>
      <c r="C63" s="4" t="n">
        <v>0.909502</v>
      </c>
      <c r="D63" s="4" t="n">
        <v>0.906629914405919</v>
      </c>
      <c r="E63" s="4" t="n">
        <v>0.049873</v>
      </c>
      <c r="F63" s="4" t="n">
        <v>0.0501277738265098</v>
      </c>
      <c r="G63" s="4" t="n">
        <v>0.002872</v>
      </c>
      <c r="H63" s="4" t="n">
        <v>0.00014397</v>
      </c>
      <c r="I63" s="4" t="n">
        <v>6.01E-006</v>
      </c>
      <c r="J63" s="4" t="n">
        <v>506900.28</v>
      </c>
    </row>
    <row r="64" customFormat="false" ht="15" hidden="false" customHeight="false" outlineLevel="0" collapsed="false">
      <c r="A64" s="4" t="s">
        <v>48</v>
      </c>
      <c r="B64" s="4" t="s">
        <v>85</v>
      </c>
      <c r="C64" s="4" t="n">
        <v>0.951563</v>
      </c>
      <c r="D64" s="4" t="n">
        <v>0.947259891802722</v>
      </c>
      <c r="E64" s="4" t="n">
        <v>0.029891</v>
      </c>
      <c r="F64" s="4" t="n">
        <v>0.0299770341636814</v>
      </c>
      <c r="G64" s="4" t="n">
        <v>0.004303</v>
      </c>
      <c r="H64" s="4" t="n">
        <v>0.00012899</v>
      </c>
      <c r="I64" s="4" t="n">
        <v>-1.46E-006</v>
      </c>
      <c r="J64" s="4" t="n">
        <v>150192.95</v>
      </c>
    </row>
    <row r="65" customFormat="false" ht="15" hidden="false" customHeight="false" outlineLevel="0" collapsed="false">
      <c r="A65" s="4" t="s">
        <v>48</v>
      </c>
      <c r="B65" s="4" t="s">
        <v>89</v>
      </c>
      <c r="C65" s="4" t="n">
        <v>0.86495</v>
      </c>
      <c r="D65" s="4" t="n">
        <v>0.866725671961616</v>
      </c>
      <c r="E65" s="4" t="n">
        <v>0.04704</v>
      </c>
      <c r="F65" s="4" t="n">
        <v>0.0468341616451626</v>
      </c>
      <c r="G65" s="4" t="n">
        <v>-0.001776</v>
      </c>
      <c r="H65" s="4" t="n">
        <v>-8.316E-005</v>
      </c>
      <c r="I65" s="4" t="n">
        <v>-1.307E-005</v>
      </c>
      <c r="J65" s="4" t="n">
        <v>562342.07</v>
      </c>
    </row>
    <row r="66" customFormat="false" ht="15" hidden="false" customHeight="false" outlineLevel="0" collapsed="false">
      <c r="A66" s="4" t="s">
        <v>48</v>
      </c>
      <c r="B66" s="4" t="s">
        <v>86</v>
      </c>
      <c r="C66" s="4" t="n">
        <v>0.953938</v>
      </c>
      <c r="D66" s="4" t="n">
        <v>0.952609806545809</v>
      </c>
      <c r="E66" s="4" t="n">
        <v>0.059739</v>
      </c>
      <c r="F66" s="4" t="n">
        <v>0.0597708070622492</v>
      </c>
      <c r="G66" s="4" t="n">
        <v>0.001328</v>
      </c>
      <c r="H66" s="4" t="n">
        <v>7.939E-005</v>
      </c>
      <c r="I66" s="4" t="n">
        <v>-7.1E-007</v>
      </c>
      <c r="J66" s="4" t="n">
        <v>310436.23</v>
      </c>
    </row>
    <row r="67" customFormat="false" ht="15" hidden="false" customHeight="false" outlineLevel="0" collapsed="false">
      <c r="A67" s="4" t="s">
        <v>48</v>
      </c>
      <c r="B67" s="4" t="s">
        <v>90</v>
      </c>
      <c r="C67" s="4" t="n">
        <v>0.917476</v>
      </c>
      <c r="D67" s="4" t="n">
        <v>0.917809352910417</v>
      </c>
      <c r="E67" s="4" t="n">
        <v>0.193259</v>
      </c>
      <c r="F67" s="4" t="n">
        <v>0.19331227283239</v>
      </c>
      <c r="G67" s="4" t="n">
        <v>-0.000333</v>
      </c>
      <c r="H67" s="4" t="n">
        <v>-6.444E-005</v>
      </c>
      <c r="I67" s="4" t="n">
        <v>6.6E-007</v>
      </c>
      <c r="J67" s="4" t="n">
        <v>1652221.6</v>
      </c>
    </row>
    <row r="68" customFormat="false" ht="15" hidden="false" customHeight="false" outlineLevel="0" collapsed="false">
      <c r="A68" s="4" t="s">
        <v>48</v>
      </c>
      <c r="B68" s="4" t="s">
        <v>79</v>
      </c>
      <c r="C68" s="4" t="n">
        <v>0.931124</v>
      </c>
      <c r="D68" s="4" t="n">
        <v>0.928892804329359</v>
      </c>
      <c r="E68" s="4" t="n">
        <v>0.022844</v>
      </c>
      <c r="F68" s="4" t="n">
        <v>0.0231134634488316</v>
      </c>
      <c r="G68" s="4" t="n">
        <v>0.002231</v>
      </c>
      <c r="H68" s="4" t="n">
        <v>5.157E-005</v>
      </c>
      <c r="I68" s="4" t="n">
        <v>3.6E-007</v>
      </c>
      <c r="J68" s="4" t="n">
        <v>159318.81</v>
      </c>
    </row>
    <row r="69" customFormat="false" ht="15" hidden="false" customHeight="false" outlineLevel="0" collapsed="false">
      <c r="A69" s="4" t="s">
        <v>48</v>
      </c>
      <c r="B69" s="4" t="s">
        <v>92</v>
      </c>
      <c r="C69" s="4" t="n">
        <v>0.937643</v>
      </c>
      <c r="D69" s="4" t="n">
        <v>0.938903293959474</v>
      </c>
      <c r="E69" s="4" t="n">
        <v>0.038737</v>
      </c>
      <c r="F69" s="4" t="n">
        <v>0.0378630863815063</v>
      </c>
      <c r="G69" s="4" t="n">
        <v>-0.00126</v>
      </c>
      <c r="H69" s="4" t="n">
        <v>-4.772E-005</v>
      </c>
      <c r="I69" s="4" t="n">
        <v>7.57E-006</v>
      </c>
      <c r="J69" s="4" t="n">
        <v>233706.41</v>
      </c>
    </row>
    <row r="70" customFormat="false" ht="15" hidden="false" customHeight="false" outlineLevel="0" collapsed="false">
      <c r="A70" s="4" t="s">
        <v>48</v>
      </c>
      <c r="B70" s="4" t="s">
        <v>87</v>
      </c>
      <c r="C70" s="4" t="n">
        <v>0.937075</v>
      </c>
      <c r="D70" s="4" t="n">
        <v>0.936150490730643</v>
      </c>
      <c r="E70" s="4" t="n">
        <v>0.026589</v>
      </c>
      <c r="F70" s="4" t="n">
        <v>0.026674695255424</v>
      </c>
      <c r="G70" s="4" t="n">
        <v>0.000925</v>
      </c>
      <c r="H70" s="4" t="n">
        <v>2.466E-005</v>
      </c>
      <c r="I70" s="4" t="n">
        <v>-5.1E-007</v>
      </c>
      <c r="J70" s="4" t="n">
        <v>206051.38</v>
      </c>
    </row>
    <row r="71" customFormat="false" ht="15" hidden="false" customHeight="false" outlineLevel="0" collapsed="false">
      <c r="A71" s="4" t="s">
        <v>48</v>
      </c>
      <c r="B71" s="4" t="s">
        <v>84</v>
      </c>
      <c r="C71" s="4" t="n">
        <v>0.956144</v>
      </c>
      <c r="D71" s="4" t="n">
        <v>0.95599886081193</v>
      </c>
      <c r="E71" s="4" t="n">
        <v>0.111252</v>
      </c>
      <c r="F71" s="4" t="n">
        <v>0.112353700059487</v>
      </c>
      <c r="G71" s="4" t="n">
        <v>0.000145</v>
      </c>
      <c r="H71" s="4" t="n">
        <v>1.631E-005</v>
      </c>
      <c r="I71" s="4" t="n">
        <v>-2.838E-005</v>
      </c>
      <c r="J71" s="4" t="n">
        <v>503801.63</v>
      </c>
    </row>
    <row r="72" customFormat="false" ht="15" hidden="false" customHeight="false" outlineLevel="0" collapsed="false">
      <c r="A72" s="4" t="s">
        <v>48</v>
      </c>
      <c r="B72" s="4" t="s">
        <v>83</v>
      </c>
      <c r="C72" s="4" t="n">
        <v>0.958898</v>
      </c>
      <c r="D72" s="4" t="n">
        <v>0.958958777157106</v>
      </c>
      <c r="E72" s="4" t="n">
        <v>0.149169</v>
      </c>
      <c r="F72" s="4" t="n">
        <v>0.148152188299495</v>
      </c>
      <c r="G72" s="4" t="n">
        <v>-6.1E-005</v>
      </c>
      <c r="H72" s="4" t="n">
        <v>-9E-006</v>
      </c>
      <c r="I72" s="4" t="n">
        <v>2.921E-005</v>
      </c>
      <c r="J72" s="4" t="n">
        <v>661494.72</v>
      </c>
    </row>
    <row r="73" customFormat="false" ht="15" hidden="false" customHeight="false" outlineLevel="0" collapsed="false">
      <c r="A73" s="4" t="s">
        <v>48</v>
      </c>
      <c r="B73" s="4" t="s">
        <v>81</v>
      </c>
      <c r="C73" s="4" t="n">
        <v>0.910739</v>
      </c>
      <c r="D73" s="4" t="n">
        <v>0.910609933085884</v>
      </c>
      <c r="E73" s="4" t="n">
        <v>0.057061</v>
      </c>
      <c r="F73" s="4" t="n">
        <v>0.0566226403294049</v>
      </c>
      <c r="G73" s="4" t="n">
        <v>0.000129</v>
      </c>
      <c r="H73" s="4" t="n">
        <v>7.31E-006</v>
      </c>
      <c r="I73" s="4" t="n">
        <v>-8.6E-006</v>
      </c>
      <c r="J73" s="4" t="n">
        <v>581639.37</v>
      </c>
    </row>
    <row r="74" customFormat="false" ht="15" hidden="false" customHeight="false" outlineLevel="0" collapsed="false">
      <c r="A74" s="4" t="s">
        <v>49</v>
      </c>
      <c r="B74" s="4" t="s">
        <v>90</v>
      </c>
      <c r="C74" s="4" t="n">
        <v>0.919553</v>
      </c>
      <c r="D74" s="4" t="n">
        <v>0.917809352910417</v>
      </c>
      <c r="E74" s="4" t="n">
        <v>0.192231</v>
      </c>
      <c r="F74" s="4" t="n">
        <v>0.19331227283239</v>
      </c>
      <c r="G74" s="4" t="n">
        <v>0.001744</v>
      </c>
      <c r="H74" s="4" t="n">
        <v>0.00033707</v>
      </c>
      <c r="I74" s="4" t="n">
        <v>1.344E-005</v>
      </c>
      <c r="J74" s="4" t="n">
        <v>1441088.09</v>
      </c>
    </row>
    <row r="75" customFormat="false" ht="15" hidden="false" customHeight="false" outlineLevel="0" collapsed="false">
      <c r="A75" s="4" t="s">
        <v>49</v>
      </c>
      <c r="B75" s="4" t="s">
        <v>88</v>
      </c>
      <c r="C75" s="4" t="n">
        <v>0.908408</v>
      </c>
      <c r="D75" s="4" t="n">
        <v>0.904690509854531</v>
      </c>
      <c r="E75" s="4" t="n">
        <v>0.076938</v>
      </c>
      <c r="F75" s="4" t="n">
        <v>0.076637388497883</v>
      </c>
      <c r="G75" s="4" t="n">
        <v>0.003717</v>
      </c>
      <c r="H75" s="4" t="n">
        <v>0.0002849</v>
      </c>
      <c r="I75" s="4" t="n">
        <v>-7.68E-006</v>
      </c>
      <c r="J75" s="4" t="n">
        <v>640080.17</v>
      </c>
    </row>
    <row r="76" customFormat="false" ht="15" hidden="false" customHeight="false" outlineLevel="0" collapsed="false">
      <c r="A76" s="4" t="s">
        <v>49</v>
      </c>
      <c r="B76" s="4" t="s">
        <v>91</v>
      </c>
      <c r="C76" s="4" t="n">
        <v>0.894914</v>
      </c>
      <c r="D76" s="4" t="n">
        <v>0.900534066489698</v>
      </c>
      <c r="E76" s="4" t="n">
        <v>0.04595</v>
      </c>
      <c r="F76" s="4" t="n">
        <v>0.0460247577242442</v>
      </c>
      <c r="G76" s="4" t="n">
        <v>-0.00562</v>
      </c>
      <c r="H76" s="4" t="n">
        <v>-0.00025866</v>
      </c>
      <c r="I76" s="4" t="n">
        <v>2.22E-006</v>
      </c>
      <c r="J76" s="4" t="n">
        <v>438143.13</v>
      </c>
    </row>
    <row r="77" customFormat="false" ht="15" hidden="false" customHeight="false" outlineLevel="0" collapsed="false">
      <c r="A77" s="4" t="s">
        <v>49</v>
      </c>
      <c r="B77" s="4" t="s">
        <v>83</v>
      </c>
      <c r="C77" s="4" t="n">
        <v>0.957257</v>
      </c>
      <c r="D77" s="4" t="n">
        <v>0.958958777157106</v>
      </c>
      <c r="E77" s="4" t="n">
        <v>0.148464</v>
      </c>
      <c r="F77" s="4" t="n">
        <v>0.148152188299495</v>
      </c>
      <c r="G77" s="4" t="n">
        <v>-0.001702</v>
      </c>
      <c r="H77" s="4" t="n">
        <v>-0.00025212</v>
      </c>
      <c r="I77" s="4" t="n">
        <v>8.96E-006</v>
      </c>
      <c r="J77" s="4" t="n">
        <v>690884.37</v>
      </c>
    </row>
    <row r="78" customFormat="false" ht="15" hidden="false" customHeight="false" outlineLevel="0" collapsed="false">
      <c r="A78" s="4" t="s">
        <v>49</v>
      </c>
      <c r="B78" s="4" t="s">
        <v>89</v>
      </c>
      <c r="C78" s="4" t="n">
        <v>0.870691</v>
      </c>
      <c r="D78" s="4" t="n">
        <v>0.866725671961616</v>
      </c>
      <c r="E78" s="4" t="n">
        <v>0.046655</v>
      </c>
      <c r="F78" s="4" t="n">
        <v>0.0468341616451626</v>
      </c>
      <c r="G78" s="4" t="n">
        <v>0.003965</v>
      </c>
      <c r="H78" s="4" t="n">
        <v>0.00018571</v>
      </c>
      <c r="I78" s="4" t="n">
        <v>1.138E-005</v>
      </c>
      <c r="J78" s="4" t="n">
        <v>507690.49</v>
      </c>
    </row>
    <row r="79" customFormat="false" ht="15" hidden="false" customHeight="false" outlineLevel="0" collapsed="false">
      <c r="A79" s="4" t="s">
        <v>49</v>
      </c>
      <c r="B79" s="4" t="s">
        <v>86</v>
      </c>
      <c r="C79" s="4" t="n">
        <v>0.95039</v>
      </c>
      <c r="D79" s="4" t="n">
        <v>0.952609806545809</v>
      </c>
      <c r="E79" s="4" t="n">
        <v>0.059964</v>
      </c>
      <c r="F79" s="4" t="n">
        <v>0.0597708070622492</v>
      </c>
      <c r="G79" s="4" t="n">
        <v>-0.00222</v>
      </c>
      <c r="H79" s="4" t="n">
        <v>-0.00013268</v>
      </c>
      <c r="I79" s="4" t="n">
        <v>4.32E-006</v>
      </c>
      <c r="J79" s="4" t="n">
        <v>280779.09</v>
      </c>
    </row>
    <row r="80" customFormat="false" ht="15" hidden="false" customHeight="false" outlineLevel="0" collapsed="false">
      <c r="A80" s="4" t="s">
        <v>49</v>
      </c>
      <c r="B80" s="4" t="s">
        <v>79</v>
      </c>
      <c r="C80" s="4" t="n">
        <v>0.92444</v>
      </c>
      <c r="D80" s="4" t="n">
        <v>0.928892804329359</v>
      </c>
      <c r="E80" s="4" t="n">
        <v>0.022804</v>
      </c>
      <c r="F80" s="4" t="n">
        <v>0.0231134634488316</v>
      </c>
      <c r="G80" s="4" t="n">
        <v>-0.004453</v>
      </c>
      <c r="H80" s="4" t="n">
        <v>-0.00010292</v>
      </c>
      <c r="I80" s="4" t="n">
        <v>4.2E-007</v>
      </c>
      <c r="J80" s="4" t="n">
        <v>137602.65</v>
      </c>
    </row>
    <row r="81" customFormat="false" ht="15" hidden="false" customHeight="false" outlineLevel="0" collapsed="false">
      <c r="A81" s="4" t="s">
        <v>49</v>
      </c>
      <c r="B81" s="4" t="s">
        <v>81</v>
      </c>
      <c r="C81" s="4" t="n">
        <v>0.909371</v>
      </c>
      <c r="D81" s="4" t="n">
        <v>0.910609933085884</v>
      </c>
      <c r="E81" s="4" t="n">
        <v>0.056601</v>
      </c>
      <c r="F81" s="4" t="n">
        <v>0.0566226403294049</v>
      </c>
      <c r="G81" s="4" t="n">
        <v>-0.001239</v>
      </c>
      <c r="H81" s="4" t="n">
        <v>-7.015E-005</v>
      </c>
      <c r="I81" s="4" t="n">
        <v>4.2E-007</v>
      </c>
      <c r="J81" s="4" t="n">
        <v>561068.62</v>
      </c>
    </row>
    <row r="82" customFormat="false" ht="15" hidden="false" customHeight="false" outlineLevel="0" collapsed="false">
      <c r="A82" s="4" t="s">
        <v>49</v>
      </c>
      <c r="B82" s="4" t="s">
        <v>85</v>
      </c>
      <c r="C82" s="4" t="n">
        <v>0.949293</v>
      </c>
      <c r="D82" s="4" t="n">
        <v>0.947259891802722</v>
      </c>
      <c r="E82" s="4" t="n">
        <v>0.030545</v>
      </c>
      <c r="F82" s="4" t="n">
        <v>0.0299770341636814</v>
      </c>
      <c r="G82" s="4" t="n">
        <v>0.002033</v>
      </c>
      <c r="H82" s="4" t="n">
        <v>6.095E-005</v>
      </c>
      <c r="I82" s="4" t="n">
        <v>9.67E-006</v>
      </c>
      <c r="J82" s="4" t="n">
        <v>159818.81</v>
      </c>
    </row>
    <row r="83" customFormat="false" ht="15" hidden="false" customHeight="false" outlineLevel="0" collapsed="false">
      <c r="A83" s="4" t="s">
        <v>49</v>
      </c>
      <c r="B83" s="4" t="s">
        <v>87</v>
      </c>
      <c r="C83" s="4" t="n">
        <v>0.934419</v>
      </c>
      <c r="D83" s="4" t="n">
        <v>0.936150490730643</v>
      </c>
      <c r="E83" s="4" t="n">
        <v>0.027483</v>
      </c>
      <c r="F83" s="4" t="n">
        <v>0.026674695255424</v>
      </c>
      <c r="G83" s="4" t="n">
        <v>-0.001731</v>
      </c>
      <c r="H83" s="4" t="n">
        <v>-4.619E-005</v>
      </c>
      <c r="I83" s="4" t="n">
        <v>4.78E-006</v>
      </c>
      <c r="J83" s="4" t="n">
        <v>175152.63</v>
      </c>
    </row>
    <row r="84" customFormat="false" ht="15" hidden="false" customHeight="false" outlineLevel="0" collapsed="false">
      <c r="A84" s="4" t="s">
        <v>49</v>
      </c>
      <c r="B84" s="4" t="s">
        <v>92</v>
      </c>
      <c r="C84" s="4" t="n">
        <v>0.939882</v>
      </c>
      <c r="D84" s="4" t="n">
        <v>0.938903293959474</v>
      </c>
      <c r="E84" s="4" t="n">
        <v>0.037623</v>
      </c>
      <c r="F84" s="4" t="n">
        <v>0.0378630863815063</v>
      </c>
      <c r="G84" s="4" t="n">
        <v>0.000979</v>
      </c>
      <c r="H84" s="4" t="n">
        <v>3.706E-005</v>
      </c>
      <c r="I84" s="4" t="n">
        <v>-2.08E-006</v>
      </c>
      <c r="J84" s="4" t="n">
        <v>216076.7</v>
      </c>
    </row>
    <row r="85" customFormat="false" ht="15" hidden="false" customHeight="false" outlineLevel="0" collapsed="false">
      <c r="A85" s="4" t="s">
        <v>49</v>
      </c>
      <c r="B85" s="4" t="s">
        <v>80</v>
      </c>
      <c r="C85" s="4" t="n">
        <v>0.946615</v>
      </c>
      <c r="D85" s="4" t="n">
        <v>0.946921293567527</v>
      </c>
      <c r="E85" s="4" t="n">
        <v>0.09134</v>
      </c>
      <c r="F85" s="4" t="n">
        <v>0.0925360304737304</v>
      </c>
      <c r="G85" s="4" t="n">
        <v>-0.000306</v>
      </c>
      <c r="H85" s="4" t="n">
        <v>-2.834E-005</v>
      </c>
      <c r="I85" s="4" t="n">
        <v>-1.996E-005</v>
      </c>
      <c r="J85" s="4" t="n">
        <v>468354.57</v>
      </c>
    </row>
    <row r="86" customFormat="false" ht="15" hidden="false" customHeight="false" outlineLevel="0" collapsed="false">
      <c r="A86" s="4" t="s">
        <v>49</v>
      </c>
      <c r="B86" s="4" t="s">
        <v>82</v>
      </c>
      <c r="C86" s="4" t="n">
        <v>0.906341</v>
      </c>
      <c r="D86" s="4" t="n">
        <v>0.906629914405919</v>
      </c>
      <c r="E86" s="4" t="n">
        <v>0.050287</v>
      </c>
      <c r="F86" s="4" t="n">
        <v>0.0501277738265098</v>
      </c>
      <c r="G86" s="4" t="n">
        <v>-0.000289</v>
      </c>
      <c r="H86" s="4" t="n">
        <v>-1.448E-005</v>
      </c>
      <c r="I86" s="4" t="n">
        <v>-3.76E-006</v>
      </c>
      <c r="J86" s="4" t="n">
        <v>445132.39</v>
      </c>
    </row>
    <row r="87" customFormat="false" ht="15" hidden="false" customHeight="false" outlineLevel="0" collapsed="false">
      <c r="A87" s="4" t="s">
        <v>49</v>
      </c>
      <c r="B87" s="4" t="s">
        <v>84</v>
      </c>
      <c r="C87" s="4" t="n">
        <v>0.956016</v>
      </c>
      <c r="D87" s="4" t="n">
        <v>0.95599886081193</v>
      </c>
      <c r="E87" s="4" t="n">
        <v>0.113115</v>
      </c>
      <c r="F87" s="4" t="n">
        <v>0.112353700059487</v>
      </c>
      <c r="G87" s="4" t="n">
        <v>1.7E-005</v>
      </c>
      <c r="H87" s="4" t="n">
        <v>1.93E-006</v>
      </c>
      <c r="I87" s="4" t="n">
        <v>1.961E-005</v>
      </c>
      <c r="J87" s="4" t="n">
        <v>513522.77</v>
      </c>
    </row>
    <row r="88" customFormat="false" ht="15" hidden="false" customHeight="false" outlineLevel="0" collapsed="false">
      <c r="A88" s="4" t="s">
        <v>50</v>
      </c>
      <c r="B88" s="4" t="s">
        <v>84</v>
      </c>
      <c r="C88" s="4" t="n">
        <v>0.953582</v>
      </c>
      <c r="D88" s="4" t="n">
        <v>0.95599886081193</v>
      </c>
      <c r="E88" s="4" t="n">
        <v>0.111957</v>
      </c>
      <c r="F88" s="4" t="n">
        <v>0.112353700059487</v>
      </c>
      <c r="G88" s="4" t="n">
        <v>-0.002417</v>
      </c>
      <c r="H88" s="4" t="n">
        <v>-0.00027154</v>
      </c>
      <c r="I88" s="4" t="n">
        <v>-1.022E-005</v>
      </c>
      <c r="J88" s="4" t="n">
        <v>513142.65</v>
      </c>
    </row>
    <row r="89" customFormat="false" ht="15" hidden="false" customHeight="false" outlineLevel="0" collapsed="false">
      <c r="A89" s="4" t="s">
        <v>50</v>
      </c>
      <c r="B89" s="4" t="s">
        <v>91</v>
      </c>
      <c r="C89" s="4" t="n">
        <v>0.904941</v>
      </c>
      <c r="D89" s="4" t="n">
        <v>0.900534066489698</v>
      </c>
      <c r="E89" s="4" t="n">
        <v>0.046006</v>
      </c>
      <c r="F89" s="4" t="n">
        <v>0.0460247577242442</v>
      </c>
      <c r="G89" s="4" t="n">
        <v>0.004407</v>
      </c>
      <c r="H89" s="4" t="n">
        <v>0.00020283</v>
      </c>
      <c r="I89" s="4" t="n">
        <v>5.6E-007</v>
      </c>
      <c r="J89" s="4" t="n">
        <v>389013.55</v>
      </c>
    </row>
    <row r="90" customFormat="false" ht="15" hidden="false" customHeight="false" outlineLevel="0" collapsed="false">
      <c r="A90" s="4" t="s">
        <v>50</v>
      </c>
      <c r="B90" s="4" t="s">
        <v>92</v>
      </c>
      <c r="C90" s="4" t="n">
        <v>0.944209</v>
      </c>
      <c r="D90" s="4" t="n">
        <v>0.938903293959474</v>
      </c>
      <c r="E90" s="4" t="n">
        <v>0.037146</v>
      </c>
      <c r="F90" s="4" t="n">
        <v>0.0378630863815063</v>
      </c>
      <c r="G90" s="4" t="n">
        <v>0.005306</v>
      </c>
      <c r="H90" s="4" t="n">
        <v>0.00020089</v>
      </c>
      <c r="I90" s="4" t="n">
        <v>-6.21E-006</v>
      </c>
      <c r="J90" s="4" t="n">
        <v>186116.28</v>
      </c>
    </row>
    <row r="91" customFormat="false" ht="15" hidden="false" customHeight="false" outlineLevel="0" collapsed="false">
      <c r="A91" s="4" t="s">
        <v>50</v>
      </c>
      <c r="B91" s="4" t="s">
        <v>85</v>
      </c>
      <c r="C91" s="4" t="n">
        <v>0.952231</v>
      </c>
      <c r="D91" s="4" t="n">
        <v>0.947259891802722</v>
      </c>
      <c r="E91" s="4" t="n">
        <v>0.030105</v>
      </c>
      <c r="F91" s="4" t="n">
        <v>0.0299770341636814</v>
      </c>
      <c r="G91" s="4" t="n">
        <v>0.004971</v>
      </c>
      <c r="H91" s="4" t="n">
        <v>0.00014902</v>
      </c>
      <c r="I91" s="4" t="n">
        <v>2.18E-006</v>
      </c>
      <c r="J91" s="4" t="n">
        <v>148056.53</v>
      </c>
    </row>
    <row r="92" customFormat="false" ht="15" hidden="false" customHeight="false" outlineLevel="0" collapsed="false">
      <c r="A92" s="4" t="s">
        <v>50</v>
      </c>
      <c r="B92" s="4" t="s">
        <v>79</v>
      </c>
      <c r="C92" s="4" t="n">
        <v>0.924096</v>
      </c>
      <c r="D92" s="4" t="n">
        <v>0.928892804329359</v>
      </c>
      <c r="E92" s="4" t="n">
        <v>0.023202</v>
      </c>
      <c r="F92" s="4" t="n">
        <v>0.0231134634488316</v>
      </c>
      <c r="G92" s="4" t="n">
        <v>-0.004797</v>
      </c>
      <c r="H92" s="4" t="n">
        <v>-0.00011087</v>
      </c>
      <c r="I92" s="4" t="n">
        <v>-1.2E-007</v>
      </c>
      <c r="J92" s="4" t="n">
        <v>183492.18</v>
      </c>
    </row>
    <row r="93" customFormat="false" ht="15" hidden="false" customHeight="false" outlineLevel="0" collapsed="false">
      <c r="A93" s="4" t="s">
        <v>50</v>
      </c>
      <c r="B93" s="4" t="s">
        <v>80</v>
      </c>
      <c r="C93" s="4" t="n">
        <v>0.946112</v>
      </c>
      <c r="D93" s="4" t="n">
        <v>0.946921293567527</v>
      </c>
      <c r="E93" s="4" t="n">
        <v>0.093585</v>
      </c>
      <c r="F93" s="4" t="n">
        <v>0.0925360304737304</v>
      </c>
      <c r="G93" s="4" t="n">
        <v>-0.000809</v>
      </c>
      <c r="H93" s="4" t="n">
        <v>-7.489E-005</v>
      </c>
      <c r="I93" s="4" t="n">
        <v>1.75E-005</v>
      </c>
      <c r="J93" s="4" t="n">
        <v>533782.52</v>
      </c>
    </row>
    <row r="94" customFormat="false" ht="15" hidden="false" customHeight="false" outlineLevel="0" collapsed="false">
      <c r="A94" s="4" t="s">
        <v>50</v>
      </c>
      <c r="B94" s="4" t="s">
        <v>82</v>
      </c>
      <c r="C94" s="4" t="n">
        <v>0.907996</v>
      </c>
      <c r="D94" s="4" t="n">
        <v>0.906629914405919</v>
      </c>
      <c r="E94" s="4" t="n">
        <v>0.05036</v>
      </c>
      <c r="F94" s="4" t="n">
        <v>0.0501277738265098</v>
      </c>
      <c r="G94" s="4" t="n">
        <v>0.001366</v>
      </c>
      <c r="H94" s="4" t="n">
        <v>6.848E-005</v>
      </c>
      <c r="I94" s="4" t="n">
        <v>-5.48E-006</v>
      </c>
      <c r="J94" s="4" t="n">
        <v>431720.05</v>
      </c>
    </row>
    <row r="95" customFormat="false" ht="15" hidden="false" customHeight="false" outlineLevel="0" collapsed="false">
      <c r="A95" s="4" t="s">
        <v>50</v>
      </c>
      <c r="B95" s="4" t="s">
        <v>90</v>
      </c>
      <c r="C95" s="4" t="n">
        <v>0.918127</v>
      </c>
      <c r="D95" s="4" t="n">
        <v>0.917809352910417</v>
      </c>
      <c r="E95" s="4" t="n">
        <v>0.191575</v>
      </c>
      <c r="F95" s="4" t="n">
        <v>0.19331227283239</v>
      </c>
      <c r="G95" s="4" t="n">
        <v>0.000318</v>
      </c>
      <c r="H95" s="4" t="n">
        <v>6.141E-005</v>
      </c>
      <c r="I95" s="4" t="n">
        <v>2.159E-005</v>
      </c>
      <c r="J95" s="4" t="n">
        <v>1498767.06</v>
      </c>
    </row>
    <row r="96" customFormat="false" ht="15" hidden="false" customHeight="false" outlineLevel="0" collapsed="false">
      <c r="A96" s="4" t="s">
        <v>50</v>
      </c>
      <c r="B96" s="4" t="s">
        <v>86</v>
      </c>
      <c r="C96" s="4" t="n">
        <v>0.951785</v>
      </c>
      <c r="D96" s="4" t="n">
        <v>0.952609806545809</v>
      </c>
      <c r="E96" s="4" t="n">
        <v>0.059816</v>
      </c>
      <c r="F96" s="4" t="n">
        <v>0.0597708070622492</v>
      </c>
      <c r="G96" s="4" t="n">
        <v>-0.000825</v>
      </c>
      <c r="H96" s="4" t="n">
        <v>-4.93E-005</v>
      </c>
      <c r="I96" s="4" t="n">
        <v>1.01E-006</v>
      </c>
      <c r="J96" s="4" t="n">
        <v>256309.16</v>
      </c>
    </row>
    <row r="97" customFormat="false" ht="15" hidden="false" customHeight="false" outlineLevel="0" collapsed="false">
      <c r="A97" s="4" t="s">
        <v>50</v>
      </c>
      <c r="B97" s="4" t="s">
        <v>83</v>
      </c>
      <c r="C97" s="4" t="n">
        <v>0.958681</v>
      </c>
      <c r="D97" s="4" t="n">
        <v>0.958958777157106</v>
      </c>
      <c r="E97" s="4" t="n">
        <v>0.149418</v>
      </c>
      <c r="F97" s="4" t="n">
        <v>0.148152188299495</v>
      </c>
      <c r="G97" s="4" t="n">
        <v>-0.000278</v>
      </c>
      <c r="H97" s="4" t="n">
        <v>-4.115E-005</v>
      </c>
      <c r="I97" s="4" t="n">
        <v>3.636E-005</v>
      </c>
      <c r="J97" s="4" t="n">
        <v>657253.81</v>
      </c>
    </row>
    <row r="98" customFormat="false" ht="15" hidden="false" customHeight="false" outlineLevel="0" collapsed="false">
      <c r="A98" s="4" t="s">
        <v>50</v>
      </c>
      <c r="B98" s="4" t="s">
        <v>81</v>
      </c>
      <c r="C98" s="4" t="n">
        <v>0.909987</v>
      </c>
      <c r="D98" s="4" t="n">
        <v>0.910609933085884</v>
      </c>
      <c r="E98" s="4" t="n">
        <v>0.056727</v>
      </c>
      <c r="F98" s="4" t="n">
        <v>0.0566226403294049</v>
      </c>
      <c r="G98" s="4" t="n">
        <v>-0.000623</v>
      </c>
      <c r="H98" s="4" t="n">
        <v>-3.527E-005</v>
      </c>
      <c r="I98" s="4" t="n">
        <v>-2.05E-006</v>
      </c>
      <c r="J98" s="4" t="n">
        <v>465495.65</v>
      </c>
    </row>
    <row r="99" customFormat="false" ht="15" hidden="false" customHeight="false" outlineLevel="0" collapsed="false">
      <c r="A99" s="4" t="s">
        <v>50</v>
      </c>
      <c r="B99" s="4" t="s">
        <v>87</v>
      </c>
      <c r="C99" s="4" t="n">
        <v>0.935086</v>
      </c>
      <c r="D99" s="4" t="n">
        <v>0.936150490730643</v>
      </c>
      <c r="E99" s="4" t="n">
        <v>0.026524</v>
      </c>
      <c r="F99" s="4" t="n">
        <v>0.026674695255424</v>
      </c>
      <c r="G99" s="4" t="n">
        <v>-0.001064</v>
      </c>
      <c r="H99" s="4" t="n">
        <v>-2.839E-005</v>
      </c>
      <c r="I99" s="4" t="n">
        <v>-8.9E-007</v>
      </c>
      <c r="J99" s="4" t="n">
        <v>175294.41</v>
      </c>
    </row>
    <row r="100" customFormat="false" ht="15" hidden="false" customHeight="false" outlineLevel="0" collapsed="false">
      <c r="A100" s="4" t="s">
        <v>50</v>
      </c>
      <c r="B100" s="4" t="s">
        <v>89</v>
      </c>
      <c r="C100" s="4" t="n">
        <v>0.86728</v>
      </c>
      <c r="D100" s="4" t="n">
        <v>0.866725671961616</v>
      </c>
      <c r="E100" s="4" t="n">
        <v>0.046696</v>
      </c>
      <c r="F100" s="4" t="n">
        <v>0.0468341616451626</v>
      </c>
      <c r="G100" s="4" t="n">
        <v>0.000554</v>
      </c>
      <c r="H100" s="4" t="n">
        <v>2.596E-005</v>
      </c>
      <c r="I100" s="4" t="n">
        <v>8.77E-006</v>
      </c>
      <c r="J100" s="4" t="n">
        <v>561405.9</v>
      </c>
    </row>
    <row r="101" customFormat="false" ht="15" hidden="false" customHeight="false" outlineLevel="0" collapsed="false">
      <c r="A101" s="4" t="s">
        <v>50</v>
      </c>
      <c r="B101" s="4" t="s">
        <v>88</v>
      </c>
      <c r="C101" s="4" t="n">
        <v>0.904479</v>
      </c>
      <c r="D101" s="4" t="n">
        <v>0.904690509854531</v>
      </c>
      <c r="E101" s="4" t="n">
        <v>0.076884</v>
      </c>
      <c r="F101" s="4" t="n">
        <v>0.076637388497883</v>
      </c>
      <c r="G101" s="4" t="n">
        <v>-0.000212</v>
      </c>
      <c r="H101" s="4" t="n">
        <v>-1.621E-005</v>
      </c>
      <c r="I101" s="4" t="n">
        <v>-6.3E-006</v>
      </c>
      <c r="J101" s="4" t="n">
        <v>682904.16</v>
      </c>
    </row>
    <row r="102" customFormat="false" ht="15" hidden="false" customHeight="false" outlineLevel="0" collapsed="false">
      <c r="A102" s="4" t="s">
        <v>51</v>
      </c>
      <c r="B102" s="4" t="s">
        <v>89</v>
      </c>
      <c r="C102" s="4" t="n">
        <v>0.859266</v>
      </c>
      <c r="D102" s="4" t="n">
        <v>0.866725671961616</v>
      </c>
      <c r="E102" s="4" t="n">
        <v>0.045994</v>
      </c>
      <c r="F102" s="4" t="n">
        <v>0.0468341616451626</v>
      </c>
      <c r="G102" s="4" t="n">
        <v>-0.00746</v>
      </c>
      <c r="H102" s="4" t="n">
        <v>-0.00034937</v>
      </c>
      <c r="I102" s="4" t="n">
        <v>5.336E-005</v>
      </c>
      <c r="J102" s="4" t="n">
        <v>691069.26</v>
      </c>
    </row>
    <row r="103" customFormat="false" ht="15" hidden="false" customHeight="false" outlineLevel="0" collapsed="false">
      <c r="A103" s="4" t="s">
        <v>51</v>
      </c>
      <c r="B103" s="4" t="s">
        <v>90</v>
      </c>
      <c r="C103" s="4" t="n">
        <v>0.916554</v>
      </c>
      <c r="D103" s="4" t="n">
        <v>0.917809352910417</v>
      </c>
      <c r="E103" s="4" t="n">
        <v>0.19223</v>
      </c>
      <c r="F103" s="4" t="n">
        <v>0.19331227283239</v>
      </c>
      <c r="G103" s="4" t="n">
        <v>-0.001255</v>
      </c>
      <c r="H103" s="4" t="n">
        <v>-0.00024268</v>
      </c>
      <c r="I103" s="4" t="n">
        <v>1.345E-005</v>
      </c>
      <c r="J103" s="4" t="n">
        <v>1731902.04</v>
      </c>
    </row>
    <row r="104" customFormat="false" ht="15" hidden="false" customHeight="false" outlineLevel="0" collapsed="false">
      <c r="A104" s="4" t="s">
        <v>51</v>
      </c>
      <c r="B104" s="4" t="s">
        <v>81</v>
      </c>
      <c r="C104" s="4" t="n">
        <v>0.907406</v>
      </c>
      <c r="D104" s="4" t="n">
        <v>0.910609933085884</v>
      </c>
      <c r="E104" s="4" t="n">
        <v>0.057795</v>
      </c>
      <c r="F104" s="4" t="n">
        <v>0.0566226403294049</v>
      </c>
      <c r="G104" s="4" t="n">
        <v>-0.003204</v>
      </c>
      <c r="H104" s="4" t="n">
        <v>-0.00018142</v>
      </c>
      <c r="I104" s="4" t="n">
        <v>-2.301E-005</v>
      </c>
      <c r="J104" s="4" t="n">
        <v>630329.6</v>
      </c>
    </row>
    <row r="105" customFormat="false" ht="15" hidden="false" customHeight="false" outlineLevel="0" collapsed="false">
      <c r="A105" s="4" t="s">
        <v>51</v>
      </c>
      <c r="B105" s="4" t="s">
        <v>88</v>
      </c>
      <c r="C105" s="4" t="n">
        <v>0.903464</v>
      </c>
      <c r="D105" s="4" t="n">
        <v>0.904690509854531</v>
      </c>
      <c r="E105" s="4" t="n">
        <v>0.077483</v>
      </c>
      <c r="F105" s="4" t="n">
        <v>0.076637388497883</v>
      </c>
      <c r="G105" s="4" t="n">
        <v>-0.001227</v>
      </c>
      <c r="H105" s="4" t="n">
        <v>-9.4E-005</v>
      </c>
      <c r="I105" s="4" t="n">
        <v>-2.16E-005</v>
      </c>
      <c r="J105" s="4" t="n">
        <v>811812.51</v>
      </c>
    </row>
    <row r="106" customFormat="false" ht="15" hidden="false" customHeight="false" outlineLevel="0" collapsed="false">
      <c r="A106" s="4" t="s">
        <v>51</v>
      </c>
      <c r="B106" s="4" t="s">
        <v>80</v>
      </c>
      <c r="C106" s="4" t="n">
        <v>0.945924</v>
      </c>
      <c r="D106" s="4" t="n">
        <v>0.946921293567527</v>
      </c>
      <c r="E106" s="4" t="n">
        <v>0.092547</v>
      </c>
      <c r="F106" s="4" t="n">
        <v>0.0925360304737304</v>
      </c>
      <c r="G106" s="4" t="n">
        <v>-0.000997</v>
      </c>
      <c r="H106" s="4" t="n">
        <v>-9.229E-005</v>
      </c>
      <c r="I106" s="4" t="n">
        <v>1.8E-007</v>
      </c>
      <c r="J106" s="4" t="n">
        <v>560422.09</v>
      </c>
    </row>
    <row r="107" customFormat="false" ht="15" hidden="false" customHeight="false" outlineLevel="0" collapsed="false">
      <c r="A107" s="4" t="s">
        <v>51</v>
      </c>
      <c r="B107" s="4" t="s">
        <v>92</v>
      </c>
      <c r="C107" s="4" t="n">
        <v>0.941054</v>
      </c>
      <c r="D107" s="4" t="n">
        <v>0.938903293959474</v>
      </c>
      <c r="E107" s="4" t="n">
        <v>0.037251</v>
      </c>
      <c r="F107" s="4" t="n">
        <v>0.0378630863815063</v>
      </c>
      <c r="G107" s="4" t="n">
        <v>0.002151</v>
      </c>
      <c r="H107" s="4" t="n">
        <v>8.143E-005</v>
      </c>
      <c r="I107" s="4" t="n">
        <v>-5.3E-006</v>
      </c>
      <c r="J107" s="4" t="n">
        <v>243114.2</v>
      </c>
    </row>
    <row r="108" customFormat="false" ht="15" hidden="false" customHeight="false" outlineLevel="0" collapsed="false">
      <c r="A108" s="4" t="s">
        <v>51</v>
      </c>
      <c r="B108" s="4" t="s">
        <v>83</v>
      </c>
      <c r="C108" s="4" t="n">
        <v>0.958422</v>
      </c>
      <c r="D108" s="4" t="n">
        <v>0.958958777157106</v>
      </c>
      <c r="E108" s="4" t="n">
        <v>0.150416</v>
      </c>
      <c r="F108" s="4" t="n">
        <v>0.148152188299495</v>
      </c>
      <c r="G108" s="4" t="n">
        <v>-0.000537</v>
      </c>
      <c r="H108" s="4" t="n">
        <v>-7.952E-005</v>
      </c>
      <c r="I108" s="4" t="n">
        <v>6.502E-005</v>
      </c>
      <c r="J108" s="4" t="n">
        <v>754593.94</v>
      </c>
    </row>
    <row r="109" customFormat="false" ht="15" hidden="false" customHeight="false" outlineLevel="0" collapsed="false">
      <c r="A109" s="4" t="s">
        <v>51</v>
      </c>
      <c r="B109" s="4" t="s">
        <v>82</v>
      </c>
      <c r="C109" s="4" t="n">
        <v>0.90569</v>
      </c>
      <c r="D109" s="4" t="n">
        <v>0.906629914405919</v>
      </c>
      <c r="E109" s="4" t="n">
        <v>0.049065</v>
      </c>
      <c r="F109" s="4" t="n">
        <v>0.0501277738265098</v>
      </c>
      <c r="G109" s="4" t="n">
        <v>-0.00094</v>
      </c>
      <c r="H109" s="4" t="n">
        <v>-4.712E-005</v>
      </c>
      <c r="I109" s="4" t="n">
        <v>2.509E-005</v>
      </c>
      <c r="J109" s="4" t="n">
        <v>501937.12</v>
      </c>
    </row>
    <row r="110" customFormat="false" ht="15" hidden="false" customHeight="false" outlineLevel="0" collapsed="false">
      <c r="A110" s="4" t="s">
        <v>51</v>
      </c>
      <c r="B110" s="4" t="s">
        <v>91</v>
      </c>
      <c r="C110" s="4" t="n">
        <v>0.901178</v>
      </c>
      <c r="D110" s="4" t="n">
        <v>0.900534066489698</v>
      </c>
      <c r="E110" s="4" t="n">
        <v>0.045189</v>
      </c>
      <c r="F110" s="4" t="n">
        <v>0.0460247577242442</v>
      </c>
      <c r="G110" s="4" t="n">
        <v>0.000644</v>
      </c>
      <c r="H110" s="4" t="n">
        <v>2.964E-005</v>
      </c>
      <c r="I110" s="4" t="n">
        <v>2.482E-005</v>
      </c>
      <c r="J110" s="4" t="n">
        <v>497203.94</v>
      </c>
    </row>
    <row r="111" customFormat="false" ht="15" hidden="false" customHeight="false" outlineLevel="0" collapsed="false">
      <c r="A111" s="4" t="s">
        <v>51</v>
      </c>
      <c r="B111" s="4" t="s">
        <v>79</v>
      </c>
      <c r="C111" s="4" t="n">
        <v>0.929939</v>
      </c>
      <c r="D111" s="4" t="n">
        <v>0.928892804329359</v>
      </c>
      <c r="E111" s="4" t="n">
        <v>0.02216</v>
      </c>
      <c r="F111" s="4" t="n">
        <v>0.0231134634488316</v>
      </c>
      <c r="G111" s="4" t="n">
        <v>0.001046</v>
      </c>
      <c r="H111" s="4" t="n">
        <v>2.418E-005</v>
      </c>
      <c r="I111" s="4" t="n">
        <v>1.28E-006</v>
      </c>
      <c r="J111" s="4" t="n">
        <v>185896.92</v>
      </c>
    </row>
    <row r="112" customFormat="false" ht="15" hidden="false" customHeight="false" outlineLevel="0" collapsed="false">
      <c r="A112" s="4" t="s">
        <v>51</v>
      </c>
      <c r="B112" s="4" t="s">
        <v>86</v>
      </c>
      <c r="C112" s="4" t="n">
        <v>0.953006</v>
      </c>
      <c r="D112" s="4" t="n">
        <v>0.952609806545809</v>
      </c>
      <c r="E112" s="4" t="n">
        <v>0.059482</v>
      </c>
      <c r="F112" s="4" t="n">
        <v>0.0597708070622492</v>
      </c>
      <c r="G112" s="4" t="n">
        <v>0.000396</v>
      </c>
      <c r="H112" s="4" t="n">
        <v>2.368E-005</v>
      </c>
      <c r="I112" s="4" t="n">
        <v>-6.46E-006</v>
      </c>
      <c r="J112" s="4" t="n">
        <v>319574.16</v>
      </c>
    </row>
    <row r="113" customFormat="false" ht="15" hidden="false" customHeight="false" outlineLevel="0" collapsed="false">
      <c r="A113" s="4" t="s">
        <v>51</v>
      </c>
      <c r="B113" s="4" t="s">
        <v>84</v>
      </c>
      <c r="C113" s="4" t="n">
        <v>0.955869</v>
      </c>
      <c r="D113" s="4" t="n">
        <v>0.95599886081193</v>
      </c>
      <c r="E113" s="4" t="n">
        <v>0.114242</v>
      </c>
      <c r="F113" s="4" t="n">
        <v>0.112353700059487</v>
      </c>
      <c r="G113" s="4" t="n">
        <v>-0.00013</v>
      </c>
      <c r="H113" s="4" t="n">
        <v>-1.459E-005</v>
      </c>
      <c r="I113" s="4" t="n">
        <v>4.865E-005</v>
      </c>
      <c r="J113" s="4" t="n">
        <v>572494.35</v>
      </c>
    </row>
    <row r="114" customFormat="false" ht="15" hidden="false" customHeight="false" outlineLevel="0" collapsed="false">
      <c r="A114" s="4" t="s">
        <v>51</v>
      </c>
      <c r="B114" s="4" t="s">
        <v>87</v>
      </c>
      <c r="C114" s="4" t="n">
        <v>0.9362</v>
      </c>
      <c r="D114" s="4" t="n">
        <v>0.936150490730643</v>
      </c>
      <c r="E114" s="4" t="n">
        <v>0.026393</v>
      </c>
      <c r="F114" s="4" t="n">
        <v>0.026674695255424</v>
      </c>
      <c r="G114" s="4" t="n">
        <v>5E-005</v>
      </c>
      <c r="H114" s="4" t="n">
        <v>1.32E-006</v>
      </c>
      <c r="I114" s="4" t="n">
        <v>-1.67E-006</v>
      </c>
      <c r="J114" s="4" t="n">
        <v>178087.53</v>
      </c>
    </row>
    <row r="115" customFormat="false" ht="15" hidden="false" customHeight="false" outlineLevel="0" collapsed="false">
      <c r="A115" s="4" t="s">
        <v>51</v>
      </c>
      <c r="B115" s="4" t="s">
        <v>85</v>
      </c>
      <c r="C115" s="4" t="n">
        <v>0.947249</v>
      </c>
      <c r="D115" s="4" t="n">
        <v>0.947259891802722</v>
      </c>
      <c r="E115" s="4" t="n">
        <v>0.029751</v>
      </c>
      <c r="F115" s="4" t="n">
        <v>0.0299770341636814</v>
      </c>
      <c r="G115" s="4" t="n">
        <v>-1.1E-005</v>
      </c>
      <c r="H115" s="4" t="n">
        <v>-3.3E-007</v>
      </c>
      <c r="I115" s="4" t="n">
        <v>-3.85E-006</v>
      </c>
      <c r="J115" s="4" t="n">
        <v>192687.5</v>
      </c>
    </row>
    <row r="116" customFormat="false" ht="15" hidden="false" customHeight="false" outlineLevel="0" collapsed="false">
      <c r="A116" s="4" t="s">
        <v>52</v>
      </c>
      <c r="B116" s="4" t="s">
        <v>89</v>
      </c>
      <c r="C116" s="4" t="n">
        <v>0.854569</v>
      </c>
      <c r="D116" s="4" t="n">
        <v>0.866725671961616</v>
      </c>
      <c r="E116" s="4" t="n">
        <v>0.04573</v>
      </c>
      <c r="F116" s="4" t="n">
        <v>0.0468341616451626</v>
      </c>
      <c r="G116" s="4" t="n">
        <v>-0.012157</v>
      </c>
      <c r="H116" s="4" t="n">
        <v>-0.00056935</v>
      </c>
      <c r="I116" s="4" t="n">
        <v>7.013E-005</v>
      </c>
      <c r="J116" s="4" t="n">
        <v>745876.29</v>
      </c>
    </row>
    <row r="117" customFormat="false" ht="15" hidden="false" customHeight="false" outlineLevel="0" collapsed="false">
      <c r="A117" s="4" t="s">
        <v>52</v>
      </c>
      <c r="B117" s="4" t="s">
        <v>90</v>
      </c>
      <c r="C117" s="4" t="n">
        <v>0.918939</v>
      </c>
      <c r="D117" s="4" t="n">
        <v>0.917809352910417</v>
      </c>
      <c r="E117" s="4" t="n">
        <v>0.191028</v>
      </c>
      <c r="F117" s="4" t="n">
        <v>0.19331227283239</v>
      </c>
      <c r="G117" s="4" t="n">
        <v>0.00113</v>
      </c>
      <c r="H117" s="4" t="n">
        <v>0.00021837</v>
      </c>
      <c r="I117" s="4" t="n">
        <v>2.839E-005</v>
      </c>
      <c r="J117" s="4" t="n">
        <v>1743754.4</v>
      </c>
    </row>
    <row r="118" customFormat="false" ht="15" hidden="false" customHeight="false" outlineLevel="0" collapsed="false">
      <c r="A118" s="4" t="s">
        <v>52</v>
      </c>
      <c r="B118" s="4" t="s">
        <v>84</v>
      </c>
      <c r="C118" s="4" t="n">
        <v>0.957279</v>
      </c>
      <c r="D118" s="4" t="n">
        <v>0.95599886081193</v>
      </c>
      <c r="E118" s="4" t="n">
        <v>0.113483</v>
      </c>
      <c r="F118" s="4" t="n">
        <v>0.112353700059487</v>
      </c>
      <c r="G118" s="4" t="n">
        <v>0.00128</v>
      </c>
      <c r="H118" s="4" t="n">
        <v>0.00014383</v>
      </c>
      <c r="I118" s="4" t="n">
        <v>2.909E-005</v>
      </c>
      <c r="J118" s="4" t="n">
        <v>563412.37</v>
      </c>
    </row>
    <row r="119" customFormat="false" ht="15" hidden="false" customHeight="false" outlineLevel="0" collapsed="false">
      <c r="A119" s="4" t="s">
        <v>52</v>
      </c>
      <c r="B119" s="4" t="s">
        <v>92</v>
      </c>
      <c r="C119" s="4" t="n">
        <v>0.941792</v>
      </c>
      <c r="D119" s="4" t="n">
        <v>0.938903293959474</v>
      </c>
      <c r="E119" s="4" t="n">
        <v>0.038046</v>
      </c>
      <c r="F119" s="4" t="n">
        <v>0.0378630863815063</v>
      </c>
      <c r="G119" s="4" t="n">
        <v>0.002889</v>
      </c>
      <c r="H119" s="4" t="n">
        <v>0.00010938</v>
      </c>
      <c r="I119" s="4" t="n">
        <v>1.59E-006</v>
      </c>
      <c r="J119" s="4" t="n">
        <v>261721.19</v>
      </c>
    </row>
    <row r="120" customFormat="false" ht="15" hidden="false" customHeight="false" outlineLevel="0" collapsed="false">
      <c r="A120" s="4" t="s">
        <v>52</v>
      </c>
      <c r="B120" s="4" t="s">
        <v>83</v>
      </c>
      <c r="C120" s="4" t="n">
        <v>0.959697</v>
      </c>
      <c r="D120" s="4" t="n">
        <v>0.958958777157106</v>
      </c>
      <c r="E120" s="4" t="n">
        <v>0.14951</v>
      </c>
      <c r="F120" s="4" t="n">
        <v>0.148152188299495</v>
      </c>
      <c r="G120" s="4" t="n">
        <v>0.000738</v>
      </c>
      <c r="H120" s="4" t="n">
        <v>0.00010937</v>
      </c>
      <c r="I120" s="4" t="n">
        <v>3.9E-005</v>
      </c>
      <c r="J120" s="4" t="n">
        <v>729999.66</v>
      </c>
    </row>
    <row r="121" customFormat="false" ht="15" hidden="false" customHeight="false" outlineLevel="0" collapsed="false">
      <c r="A121" s="4" t="s">
        <v>52</v>
      </c>
      <c r="B121" s="4" t="s">
        <v>79</v>
      </c>
      <c r="C121" s="4" t="n">
        <v>0.933493</v>
      </c>
      <c r="D121" s="4" t="n">
        <v>0.928892804329359</v>
      </c>
      <c r="E121" s="4" t="n">
        <v>0.022922</v>
      </c>
      <c r="F121" s="4" t="n">
        <v>0.0231134634488316</v>
      </c>
      <c r="G121" s="4" t="n">
        <v>0.0046</v>
      </c>
      <c r="H121" s="4" t="n">
        <v>0.00010633</v>
      </c>
      <c r="I121" s="4" t="n">
        <v>2.6E-007</v>
      </c>
      <c r="J121" s="4" t="n">
        <v>147373.57</v>
      </c>
    </row>
    <row r="122" customFormat="false" ht="15" hidden="false" customHeight="false" outlineLevel="0" collapsed="false">
      <c r="A122" s="4" t="s">
        <v>52</v>
      </c>
      <c r="B122" s="4" t="s">
        <v>81</v>
      </c>
      <c r="C122" s="4" t="n">
        <v>0.908754</v>
      </c>
      <c r="D122" s="4" t="n">
        <v>0.910609933085884</v>
      </c>
      <c r="E122" s="4" t="n">
        <v>0.057459</v>
      </c>
      <c r="F122" s="4" t="n">
        <v>0.0566226403294049</v>
      </c>
      <c r="G122" s="4" t="n">
        <v>-0.001856</v>
      </c>
      <c r="H122" s="4" t="n">
        <v>-0.00010509</v>
      </c>
      <c r="I122" s="4" t="n">
        <v>-1.641E-005</v>
      </c>
      <c r="J122" s="4" t="n">
        <v>640686.02</v>
      </c>
    </row>
    <row r="123" customFormat="false" ht="15" hidden="false" customHeight="false" outlineLevel="0" collapsed="false">
      <c r="A123" s="4" t="s">
        <v>52</v>
      </c>
      <c r="B123" s="4" t="s">
        <v>86</v>
      </c>
      <c r="C123" s="4" t="n">
        <v>0.953916</v>
      </c>
      <c r="D123" s="4" t="n">
        <v>0.952609806545809</v>
      </c>
      <c r="E123" s="4" t="n">
        <v>0.061466</v>
      </c>
      <c r="F123" s="4" t="n">
        <v>0.0597708070622492</v>
      </c>
      <c r="G123" s="4" t="n">
        <v>0.001306</v>
      </c>
      <c r="H123" s="4" t="n">
        <v>7.807E-005</v>
      </c>
      <c r="I123" s="4" t="n">
        <v>3.793E-005</v>
      </c>
      <c r="J123" s="4" t="n">
        <v>319039.97</v>
      </c>
    </row>
    <row r="124" customFormat="false" ht="15" hidden="false" customHeight="false" outlineLevel="0" collapsed="false">
      <c r="A124" s="4" t="s">
        <v>52</v>
      </c>
      <c r="B124" s="4" t="s">
        <v>88</v>
      </c>
      <c r="C124" s="4" t="n">
        <v>0.903833</v>
      </c>
      <c r="D124" s="4" t="n">
        <v>0.904690509854531</v>
      </c>
      <c r="E124" s="4" t="n">
        <v>0.077404</v>
      </c>
      <c r="F124" s="4" t="n">
        <v>0.076637388497883</v>
      </c>
      <c r="G124" s="4" t="n">
        <v>-0.000858</v>
      </c>
      <c r="H124" s="4" t="n">
        <v>-6.572E-005</v>
      </c>
      <c r="I124" s="4" t="n">
        <v>-1.958E-005</v>
      </c>
      <c r="J124" s="4" t="n">
        <v>865959.94</v>
      </c>
    </row>
    <row r="125" customFormat="false" ht="15" hidden="false" customHeight="false" outlineLevel="0" collapsed="false">
      <c r="A125" s="4" t="s">
        <v>52</v>
      </c>
      <c r="B125" s="4" t="s">
        <v>80</v>
      </c>
      <c r="C125" s="4" t="n">
        <v>0.947298</v>
      </c>
      <c r="D125" s="4" t="n">
        <v>0.946921293567527</v>
      </c>
      <c r="E125" s="4" t="n">
        <v>0.09225</v>
      </c>
      <c r="F125" s="4" t="n">
        <v>0.0925360304737304</v>
      </c>
      <c r="G125" s="4" t="n">
        <v>0.000377</v>
      </c>
      <c r="H125" s="4" t="n">
        <v>3.486E-005</v>
      </c>
      <c r="I125" s="4" t="n">
        <v>-4.77E-006</v>
      </c>
      <c r="J125" s="4" t="n">
        <v>551375.93</v>
      </c>
    </row>
    <row r="126" customFormat="false" ht="15" hidden="false" customHeight="false" outlineLevel="0" collapsed="false">
      <c r="A126" s="4" t="s">
        <v>52</v>
      </c>
      <c r="B126" s="4" t="s">
        <v>87</v>
      </c>
      <c r="C126" s="4" t="n">
        <v>0.934898</v>
      </c>
      <c r="D126" s="4" t="n">
        <v>0.936150490730643</v>
      </c>
      <c r="E126" s="4" t="n">
        <v>0.026475</v>
      </c>
      <c r="F126" s="4" t="n">
        <v>0.026674695255424</v>
      </c>
      <c r="G126" s="4" t="n">
        <v>-0.001252</v>
      </c>
      <c r="H126" s="4" t="n">
        <v>-3.341E-005</v>
      </c>
      <c r="I126" s="4" t="n">
        <v>-1.18E-006</v>
      </c>
      <c r="J126" s="4" t="n">
        <v>179012.97</v>
      </c>
    </row>
    <row r="127" customFormat="false" ht="15" hidden="false" customHeight="false" outlineLevel="0" collapsed="false">
      <c r="A127" s="4" t="s">
        <v>52</v>
      </c>
      <c r="B127" s="4" t="s">
        <v>85</v>
      </c>
      <c r="C127" s="4" t="n">
        <v>0.948329</v>
      </c>
      <c r="D127" s="4" t="n">
        <v>0.947259891802722</v>
      </c>
      <c r="E127" s="4" t="n">
        <v>0.030101</v>
      </c>
      <c r="F127" s="4" t="n">
        <v>0.0299770341636814</v>
      </c>
      <c r="G127" s="4" t="n">
        <v>0.001069</v>
      </c>
      <c r="H127" s="4" t="n">
        <v>3.205E-005</v>
      </c>
      <c r="I127" s="4" t="n">
        <v>2.11E-006</v>
      </c>
      <c r="J127" s="4" t="n">
        <v>191324.06</v>
      </c>
    </row>
    <row r="128" customFormat="false" ht="15" hidden="false" customHeight="false" outlineLevel="0" collapsed="false">
      <c r="A128" s="4" t="s">
        <v>52</v>
      </c>
      <c r="B128" s="4" t="s">
        <v>91</v>
      </c>
      <c r="C128" s="4" t="n">
        <v>0.899969</v>
      </c>
      <c r="D128" s="4" t="n">
        <v>0.900534066489698</v>
      </c>
      <c r="E128" s="4" t="n">
        <v>0.044724</v>
      </c>
      <c r="F128" s="4" t="n">
        <v>0.0460247577242442</v>
      </c>
      <c r="G128" s="4" t="n">
        <v>-0.000565</v>
      </c>
      <c r="H128" s="4" t="n">
        <v>-2.601E-005</v>
      </c>
      <c r="I128" s="4" t="n">
        <v>3.864E-005</v>
      </c>
      <c r="J128" s="4" t="n">
        <v>481080.27</v>
      </c>
    </row>
    <row r="129" customFormat="false" ht="15" hidden="false" customHeight="false" outlineLevel="0" collapsed="false">
      <c r="A129" s="4" t="s">
        <v>52</v>
      </c>
      <c r="B129" s="4" t="s">
        <v>82</v>
      </c>
      <c r="C129" s="4" t="n">
        <v>0.906589</v>
      </c>
      <c r="D129" s="4" t="n">
        <v>0.906629914405919</v>
      </c>
      <c r="E129" s="4" t="n">
        <v>0.049401</v>
      </c>
      <c r="F129" s="4" t="n">
        <v>0.0501277738265098</v>
      </c>
      <c r="G129" s="4" t="n">
        <v>-4.1E-005</v>
      </c>
      <c r="H129" s="4" t="n">
        <v>-2.05E-006</v>
      </c>
      <c r="I129" s="4" t="n">
        <v>1.716E-005</v>
      </c>
      <c r="J129" s="4" t="n">
        <v>531845.71</v>
      </c>
    </row>
    <row r="130" customFormat="false" ht="15" hidden="false" customHeight="false" outlineLevel="0" collapsed="false">
      <c r="A130" s="4" t="s">
        <v>53</v>
      </c>
      <c r="B130" s="4" t="s">
        <v>89</v>
      </c>
      <c r="C130" s="4" t="n">
        <v>0.858449</v>
      </c>
      <c r="D130" s="4" t="n">
        <v>0.866725671961616</v>
      </c>
      <c r="E130" s="4" t="n">
        <v>0.046822</v>
      </c>
      <c r="F130" s="4" t="n">
        <v>0.0468341616451626</v>
      </c>
      <c r="G130" s="4" t="n">
        <v>-0.008277</v>
      </c>
      <c r="H130" s="4" t="n">
        <v>-0.00038763</v>
      </c>
      <c r="I130" s="4" t="n">
        <v>7.7E-007</v>
      </c>
      <c r="J130" s="4" t="n">
        <v>648852.33</v>
      </c>
    </row>
    <row r="131" customFormat="false" ht="15" hidden="false" customHeight="false" outlineLevel="0" collapsed="false">
      <c r="A131" s="4" t="s">
        <v>53</v>
      </c>
      <c r="B131" s="4" t="s">
        <v>84</v>
      </c>
      <c r="C131" s="4" t="n">
        <v>0.954146</v>
      </c>
      <c r="D131" s="4" t="n">
        <v>0.95599886081193</v>
      </c>
      <c r="E131" s="4" t="n">
        <v>0.112319</v>
      </c>
      <c r="F131" s="4" t="n">
        <v>0.112353700059487</v>
      </c>
      <c r="G131" s="4" t="n">
        <v>-0.001853</v>
      </c>
      <c r="H131" s="4" t="n">
        <v>-0.00020818</v>
      </c>
      <c r="I131" s="4" t="n">
        <v>-8.9E-007</v>
      </c>
      <c r="J131" s="4" t="n">
        <v>577462.72</v>
      </c>
    </row>
    <row r="132" customFormat="false" ht="15" hidden="false" customHeight="false" outlineLevel="0" collapsed="false">
      <c r="A132" s="4" t="s">
        <v>53</v>
      </c>
      <c r="B132" s="4" t="s">
        <v>82</v>
      </c>
      <c r="C132" s="4" t="n">
        <v>0.910624</v>
      </c>
      <c r="D132" s="4" t="n">
        <v>0.906629914405919</v>
      </c>
      <c r="E132" s="4" t="n">
        <v>0.049128</v>
      </c>
      <c r="F132" s="4" t="n">
        <v>0.0501277738265098</v>
      </c>
      <c r="G132" s="4" t="n">
        <v>0.003994</v>
      </c>
      <c r="H132" s="4" t="n">
        <v>0.00020021</v>
      </c>
      <c r="I132" s="4" t="n">
        <v>2.36E-005</v>
      </c>
      <c r="J132" s="4" t="n">
        <v>463586.35</v>
      </c>
    </row>
    <row r="133" customFormat="false" ht="15" hidden="false" customHeight="false" outlineLevel="0" collapsed="false">
      <c r="A133" s="4" t="s">
        <v>53</v>
      </c>
      <c r="B133" s="4" t="s">
        <v>90</v>
      </c>
      <c r="C133" s="4" t="n">
        <v>0.918714</v>
      </c>
      <c r="D133" s="4" t="n">
        <v>0.917809352910417</v>
      </c>
      <c r="E133" s="4" t="n">
        <v>0.19093</v>
      </c>
      <c r="F133" s="4" t="n">
        <v>0.19331227283239</v>
      </c>
      <c r="G133" s="4" t="n">
        <v>0.000905</v>
      </c>
      <c r="H133" s="4" t="n">
        <v>0.00017488</v>
      </c>
      <c r="I133" s="4" t="n">
        <v>2.96E-005</v>
      </c>
      <c r="J133" s="4" t="n">
        <v>1652420.8</v>
      </c>
    </row>
    <row r="134" customFormat="false" ht="15" hidden="false" customHeight="false" outlineLevel="0" collapsed="false">
      <c r="A134" s="4" t="s">
        <v>53</v>
      </c>
      <c r="B134" s="4" t="s">
        <v>80</v>
      </c>
      <c r="C134" s="4" t="n">
        <v>0.94544</v>
      </c>
      <c r="D134" s="4" t="n">
        <v>0.946921293567527</v>
      </c>
      <c r="E134" s="4" t="n">
        <v>0.092878</v>
      </c>
      <c r="F134" s="4" t="n">
        <v>0.0925360304737304</v>
      </c>
      <c r="G134" s="4" t="n">
        <v>-0.001481</v>
      </c>
      <c r="H134" s="4" t="n">
        <v>-0.00013707</v>
      </c>
      <c r="I134" s="4" t="n">
        <v>5.71E-006</v>
      </c>
      <c r="J134" s="4" t="n">
        <v>569143.79</v>
      </c>
    </row>
    <row r="135" customFormat="false" ht="15" hidden="false" customHeight="false" outlineLevel="0" collapsed="false">
      <c r="A135" s="4" t="s">
        <v>53</v>
      </c>
      <c r="B135" s="4" t="s">
        <v>88</v>
      </c>
      <c r="C135" s="4" t="n">
        <v>0.903032</v>
      </c>
      <c r="D135" s="4" t="n">
        <v>0.904690509854531</v>
      </c>
      <c r="E135" s="4" t="n">
        <v>0.077997</v>
      </c>
      <c r="F135" s="4" t="n">
        <v>0.076637388497883</v>
      </c>
      <c r="G135" s="4" t="n">
        <v>-0.001659</v>
      </c>
      <c r="H135" s="4" t="n">
        <v>-0.0001271</v>
      </c>
      <c r="I135" s="4" t="n">
        <v>-3.473E-005</v>
      </c>
      <c r="J135" s="4" t="n">
        <v>881208.4</v>
      </c>
    </row>
    <row r="136" customFormat="false" ht="15" hidden="false" customHeight="false" outlineLevel="0" collapsed="false">
      <c r="A136" s="4" t="s">
        <v>53</v>
      </c>
      <c r="B136" s="4" t="s">
        <v>86</v>
      </c>
      <c r="C136" s="4" t="n">
        <v>0.954398</v>
      </c>
      <c r="D136" s="4" t="n">
        <v>0.952609806545809</v>
      </c>
      <c r="E136" s="4" t="n">
        <v>0.060785</v>
      </c>
      <c r="F136" s="4" t="n">
        <v>0.0597708070622492</v>
      </c>
      <c r="G136" s="4" t="n">
        <v>0.001788</v>
      </c>
      <c r="H136" s="4" t="n">
        <v>0.00010688</v>
      </c>
      <c r="I136" s="4" t="n">
        <v>2.269E-005</v>
      </c>
      <c r="J136" s="4" t="n">
        <v>306050.39</v>
      </c>
    </row>
    <row r="137" customFormat="false" ht="15" hidden="false" customHeight="false" outlineLevel="0" collapsed="false">
      <c r="A137" s="4" t="s">
        <v>53</v>
      </c>
      <c r="B137" s="4" t="s">
        <v>79</v>
      </c>
      <c r="C137" s="4" t="n">
        <v>0.933456</v>
      </c>
      <c r="D137" s="4" t="n">
        <v>0.928892804329359</v>
      </c>
      <c r="E137" s="4" t="n">
        <v>0.022462</v>
      </c>
      <c r="F137" s="4" t="n">
        <v>0.0231134634488316</v>
      </c>
      <c r="G137" s="4" t="n">
        <v>0.004563</v>
      </c>
      <c r="H137" s="4" t="n">
        <v>0.00010547</v>
      </c>
      <c r="I137" s="4" t="n">
        <v>8.8E-007</v>
      </c>
      <c r="J137" s="4" t="n">
        <v>175303.51</v>
      </c>
    </row>
    <row r="138" customFormat="false" ht="15" hidden="false" customHeight="false" outlineLevel="0" collapsed="false">
      <c r="A138" s="4" t="s">
        <v>53</v>
      </c>
      <c r="B138" s="4" t="s">
        <v>92</v>
      </c>
      <c r="C138" s="4" t="n">
        <v>0.940897</v>
      </c>
      <c r="D138" s="4" t="n">
        <v>0.938903293959474</v>
      </c>
      <c r="E138" s="4" t="n">
        <v>0.038489</v>
      </c>
      <c r="F138" s="4" t="n">
        <v>0.0378630863815063</v>
      </c>
      <c r="G138" s="4" t="n">
        <v>0.001994</v>
      </c>
      <c r="H138" s="4" t="n">
        <v>7.549E-005</v>
      </c>
      <c r="I138" s="4" t="n">
        <v>5.42E-006</v>
      </c>
      <c r="J138" s="4" t="n">
        <v>269824.79</v>
      </c>
    </row>
    <row r="139" customFormat="false" ht="15" hidden="false" customHeight="false" outlineLevel="0" collapsed="false">
      <c r="A139" s="4" t="s">
        <v>53</v>
      </c>
      <c r="B139" s="4" t="s">
        <v>91</v>
      </c>
      <c r="C139" s="4" t="n">
        <v>0.899011</v>
      </c>
      <c r="D139" s="4" t="n">
        <v>0.900534066489698</v>
      </c>
      <c r="E139" s="4" t="n">
        <v>0.044675</v>
      </c>
      <c r="F139" s="4" t="n">
        <v>0.0460247577242442</v>
      </c>
      <c r="G139" s="4" t="n">
        <v>-0.001523</v>
      </c>
      <c r="H139" s="4" t="n">
        <v>-7.01E-005</v>
      </c>
      <c r="I139" s="4" t="n">
        <v>4.009E-005</v>
      </c>
      <c r="J139" s="4" t="n">
        <v>494377.39</v>
      </c>
    </row>
    <row r="140" customFormat="false" ht="15" hidden="false" customHeight="false" outlineLevel="0" collapsed="false">
      <c r="A140" s="4" t="s">
        <v>53</v>
      </c>
      <c r="B140" s="4" t="s">
        <v>85</v>
      </c>
      <c r="C140" s="4" t="n">
        <v>0.945879</v>
      </c>
      <c r="D140" s="4" t="n">
        <v>0.947259891802722</v>
      </c>
      <c r="E140" s="4" t="n">
        <v>0.029404</v>
      </c>
      <c r="F140" s="4" t="n">
        <v>0.0299770341636814</v>
      </c>
      <c r="G140" s="4" t="n">
        <v>-0.001381</v>
      </c>
      <c r="H140" s="4" t="n">
        <v>-4.14E-005</v>
      </c>
      <c r="I140" s="4" t="n">
        <v>-9.76E-006</v>
      </c>
      <c r="J140" s="4" t="n">
        <v>174789.02</v>
      </c>
    </row>
    <row r="141" customFormat="false" ht="15" hidden="false" customHeight="false" outlineLevel="0" collapsed="false">
      <c r="A141" s="4" t="s">
        <v>53</v>
      </c>
      <c r="B141" s="4" t="s">
        <v>87</v>
      </c>
      <c r="C141" s="4" t="n">
        <v>0.935369</v>
      </c>
      <c r="D141" s="4" t="n">
        <v>0.936150490730643</v>
      </c>
      <c r="E141" s="4" t="n">
        <v>0.026117</v>
      </c>
      <c r="F141" s="4" t="n">
        <v>0.026674695255424</v>
      </c>
      <c r="G141" s="4" t="n">
        <v>-0.000781</v>
      </c>
      <c r="H141" s="4" t="n">
        <v>-2.085E-005</v>
      </c>
      <c r="I141" s="4" t="n">
        <v>-3.3E-006</v>
      </c>
      <c r="J141" s="4" t="n">
        <v>176302.71</v>
      </c>
    </row>
    <row r="142" customFormat="false" ht="15" hidden="false" customHeight="false" outlineLevel="0" collapsed="false">
      <c r="A142" s="4" t="s">
        <v>53</v>
      </c>
      <c r="B142" s="4" t="s">
        <v>81</v>
      </c>
      <c r="C142" s="4" t="n">
        <v>0.910391</v>
      </c>
      <c r="D142" s="4" t="n">
        <v>0.910609933085884</v>
      </c>
      <c r="E142" s="4" t="n">
        <v>0.057668</v>
      </c>
      <c r="F142" s="4" t="n">
        <v>0.0566226403294049</v>
      </c>
      <c r="G142" s="4" t="n">
        <v>-0.000219</v>
      </c>
      <c r="H142" s="4" t="n">
        <v>-1.24E-005</v>
      </c>
      <c r="I142" s="4" t="n">
        <v>-2.052E-005</v>
      </c>
      <c r="J142" s="4" t="n">
        <v>560022.56</v>
      </c>
    </row>
    <row r="143" customFormat="false" ht="15" hidden="false" customHeight="false" outlineLevel="0" collapsed="false">
      <c r="A143" s="4" t="s">
        <v>53</v>
      </c>
      <c r="B143" s="4" t="s">
        <v>83</v>
      </c>
      <c r="C143" s="4" t="n">
        <v>0.958896</v>
      </c>
      <c r="D143" s="4" t="n">
        <v>0.958958777157106</v>
      </c>
      <c r="E143" s="4" t="n">
        <v>0.150325</v>
      </c>
      <c r="F143" s="4" t="n">
        <v>0.148152188299495</v>
      </c>
      <c r="G143" s="4" t="n">
        <v>-6.3E-005</v>
      </c>
      <c r="H143" s="4" t="n">
        <v>-9.3E-006</v>
      </c>
      <c r="I143" s="4" t="n">
        <v>6.241E-005</v>
      </c>
      <c r="J143" s="4" t="n">
        <v>691460.78</v>
      </c>
    </row>
    <row r="144" customFormat="false" ht="15" hidden="false" customHeight="false" outlineLevel="0" collapsed="false">
      <c r="A144" s="4" t="s">
        <v>54</v>
      </c>
      <c r="B144" s="4" t="s">
        <v>89</v>
      </c>
      <c r="C144" s="4" t="n">
        <v>0.8585</v>
      </c>
      <c r="D144" s="4" t="n">
        <v>0.866725671961616</v>
      </c>
      <c r="E144" s="4" t="n">
        <v>0.045437</v>
      </c>
      <c r="F144" s="4" t="n">
        <v>0.0468341616451626</v>
      </c>
      <c r="G144" s="4" t="n">
        <v>-0.008226</v>
      </c>
      <c r="H144" s="4" t="n">
        <v>-0.00038524</v>
      </c>
      <c r="I144" s="4" t="n">
        <v>8.873E-005</v>
      </c>
      <c r="J144" s="4" t="n">
        <v>627684.83</v>
      </c>
    </row>
    <row r="145" customFormat="false" ht="15" hidden="false" customHeight="false" outlineLevel="0" collapsed="false">
      <c r="A145" s="4" t="s">
        <v>54</v>
      </c>
      <c r="B145" s="4" t="s">
        <v>82</v>
      </c>
      <c r="C145" s="4" t="n">
        <v>0.912455</v>
      </c>
      <c r="D145" s="4" t="n">
        <v>0.906629914405919</v>
      </c>
      <c r="E145" s="4" t="n">
        <v>0.048386</v>
      </c>
      <c r="F145" s="4" t="n">
        <v>0.0501277738265098</v>
      </c>
      <c r="G145" s="4" t="n">
        <v>0.005825</v>
      </c>
      <c r="H145" s="4" t="n">
        <v>0.000292</v>
      </c>
      <c r="I145" s="4" t="n">
        <v>4.112E-005</v>
      </c>
      <c r="J145" s="4" t="n">
        <v>466265.13</v>
      </c>
    </row>
    <row r="146" customFormat="false" ht="15" hidden="false" customHeight="false" outlineLevel="0" collapsed="false">
      <c r="A146" s="4" t="s">
        <v>54</v>
      </c>
      <c r="B146" s="4" t="s">
        <v>79</v>
      </c>
      <c r="C146" s="4" t="n">
        <v>0.93551</v>
      </c>
      <c r="D146" s="4" t="n">
        <v>0.928892804329359</v>
      </c>
      <c r="E146" s="4" t="n">
        <v>0.022136</v>
      </c>
      <c r="F146" s="4" t="n">
        <v>0.0231134634488316</v>
      </c>
      <c r="G146" s="4" t="n">
        <v>0.006617</v>
      </c>
      <c r="H146" s="4" t="n">
        <v>0.00015295</v>
      </c>
      <c r="I146" s="4" t="n">
        <v>1.31E-006</v>
      </c>
      <c r="J146" s="4" t="n">
        <v>140137.82</v>
      </c>
    </row>
    <row r="147" customFormat="false" ht="15" hidden="false" customHeight="false" outlineLevel="0" collapsed="false">
      <c r="A147" s="4" t="s">
        <v>54</v>
      </c>
      <c r="B147" s="4" t="s">
        <v>88</v>
      </c>
      <c r="C147" s="4" t="n">
        <v>0.90319</v>
      </c>
      <c r="D147" s="4" t="n">
        <v>0.904690509854531</v>
      </c>
      <c r="E147" s="4" t="n">
        <v>0.077778</v>
      </c>
      <c r="F147" s="4" t="n">
        <v>0.076637388497883</v>
      </c>
      <c r="G147" s="4" t="n">
        <v>-0.001501</v>
      </c>
      <c r="H147" s="4" t="n">
        <v>-0.000115</v>
      </c>
      <c r="I147" s="4" t="n">
        <v>-2.914E-005</v>
      </c>
      <c r="J147" s="4" t="n">
        <v>823950.45</v>
      </c>
    </row>
    <row r="148" customFormat="false" ht="15" hidden="false" customHeight="false" outlineLevel="0" collapsed="false">
      <c r="A148" s="4" t="s">
        <v>54</v>
      </c>
      <c r="B148" s="4" t="s">
        <v>80</v>
      </c>
      <c r="C148" s="4" t="n">
        <v>0.945681</v>
      </c>
      <c r="D148" s="4" t="n">
        <v>0.946921293567527</v>
      </c>
      <c r="E148" s="4" t="n">
        <v>0.091421</v>
      </c>
      <c r="F148" s="4" t="n">
        <v>0.0925360304737304</v>
      </c>
      <c r="G148" s="4" t="n">
        <v>-0.00124</v>
      </c>
      <c r="H148" s="4" t="n">
        <v>-0.00011477</v>
      </c>
      <c r="I148" s="4" t="n">
        <v>-1.86E-005</v>
      </c>
      <c r="J148" s="4" t="n">
        <v>591825.21</v>
      </c>
    </row>
    <row r="149" customFormat="false" ht="15" hidden="false" customHeight="false" outlineLevel="0" collapsed="false">
      <c r="A149" s="4" t="s">
        <v>54</v>
      </c>
      <c r="B149" s="4" t="s">
        <v>83</v>
      </c>
      <c r="C149" s="4" t="n">
        <v>0.959596</v>
      </c>
      <c r="D149" s="4" t="n">
        <v>0.958958777157106</v>
      </c>
      <c r="E149" s="4" t="n">
        <v>0.151385</v>
      </c>
      <c r="F149" s="4" t="n">
        <v>0.148152188299495</v>
      </c>
      <c r="G149" s="4" t="n">
        <v>0.000637</v>
      </c>
      <c r="H149" s="4" t="n">
        <v>9.441E-005</v>
      </c>
      <c r="I149" s="4" t="n">
        <v>9.285E-005</v>
      </c>
      <c r="J149" s="4" t="n">
        <v>717557.17</v>
      </c>
    </row>
    <row r="150" customFormat="false" ht="15" hidden="false" customHeight="false" outlineLevel="0" collapsed="false">
      <c r="A150" s="4" t="s">
        <v>54</v>
      </c>
      <c r="B150" s="4" t="s">
        <v>92</v>
      </c>
      <c r="C150" s="4" t="n">
        <v>0.940913</v>
      </c>
      <c r="D150" s="4" t="n">
        <v>0.938903293959474</v>
      </c>
      <c r="E150" s="4" t="n">
        <v>0.037731</v>
      </c>
      <c r="F150" s="4" t="n">
        <v>0.0378630863815063</v>
      </c>
      <c r="G150" s="4" t="n">
        <v>0.00201</v>
      </c>
      <c r="H150" s="4" t="n">
        <v>7.609E-005</v>
      </c>
      <c r="I150" s="4" t="n">
        <v>-1.14E-006</v>
      </c>
      <c r="J150" s="4" t="n">
        <v>236622.54</v>
      </c>
    </row>
    <row r="151" customFormat="false" ht="15" hidden="false" customHeight="false" outlineLevel="0" collapsed="false">
      <c r="A151" s="4" t="s">
        <v>54</v>
      </c>
      <c r="B151" s="4" t="s">
        <v>85</v>
      </c>
      <c r="C151" s="4" t="n">
        <v>0.949653</v>
      </c>
      <c r="D151" s="4" t="n">
        <v>0.947259891802722</v>
      </c>
      <c r="E151" s="4" t="n">
        <v>0.029497</v>
      </c>
      <c r="F151" s="4" t="n">
        <v>0.0299770341636814</v>
      </c>
      <c r="G151" s="4" t="n">
        <v>0.002393</v>
      </c>
      <c r="H151" s="4" t="n">
        <v>7.174E-005</v>
      </c>
      <c r="I151" s="4" t="n">
        <v>-8.17E-006</v>
      </c>
      <c r="J151" s="4" t="n">
        <v>197755.33</v>
      </c>
    </row>
    <row r="152" customFormat="false" ht="15" hidden="false" customHeight="false" outlineLevel="0" collapsed="false">
      <c r="A152" s="4" t="s">
        <v>54</v>
      </c>
      <c r="B152" s="4" t="s">
        <v>90</v>
      </c>
      <c r="C152" s="4" t="n">
        <v>0.9175</v>
      </c>
      <c r="D152" s="4" t="n">
        <v>0.917809352910417</v>
      </c>
      <c r="E152" s="4" t="n">
        <v>0.193871</v>
      </c>
      <c r="F152" s="4" t="n">
        <v>0.19331227283239</v>
      </c>
      <c r="G152" s="4" t="n">
        <v>-0.000309</v>
      </c>
      <c r="H152" s="4" t="n">
        <v>-5.98E-005</v>
      </c>
      <c r="I152" s="4" t="n">
        <v>-6.94E-006</v>
      </c>
      <c r="J152" s="4" t="n">
        <v>1653145.31</v>
      </c>
    </row>
    <row r="153" customFormat="false" ht="15" hidden="false" customHeight="false" outlineLevel="0" collapsed="false">
      <c r="A153" s="4" t="s">
        <v>54</v>
      </c>
      <c r="B153" s="4" t="s">
        <v>87</v>
      </c>
      <c r="C153" s="4" t="n">
        <v>0.937466</v>
      </c>
      <c r="D153" s="4" t="n">
        <v>0.936150490730643</v>
      </c>
      <c r="E153" s="4" t="n">
        <v>0.026106</v>
      </c>
      <c r="F153" s="4" t="n">
        <v>0.026674695255424</v>
      </c>
      <c r="G153" s="4" t="n">
        <v>0.001316</v>
      </c>
      <c r="H153" s="4" t="n">
        <v>3.509E-005</v>
      </c>
      <c r="I153" s="4" t="n">
        <v>-3.36E-006</v>
      </c>
      <c r="J153" s="4" t="n">
        <v>183482.35</v>
      </c>
    </row>
    <row r="154" customFormat="false" ht="15" hidden="false" customHeight="false" outlineLevel="0" collapsed="false">
      <c r="A154" s="4" t="s">
        <v>54</v>
      </c>
      <c r="B154" s="4" t="s">
        <v>81</v>
      </c>
      <c r="C154" s="4" t="n">
        <v>0.911185</v>
      </c>
      <c r="D154" s="4" t="n">
        <v>0.910609933085884</v>
      </c>
      <c r="E154" s="4" t="n">
        <v>0.057613</v>
      </c>
      <c r="F154" s="4" t="n">
        <v>0.0566226403294049</v>
      </c>
      <c r="G154" s="4" t="n">
        <v>0.000575</v>
      </c>
      <c r="H154" s="4" t="n">
        <v>3.256E-005</v>
      </c>
      <c r="I154" s="4" t="n">
        <v>-1.944E-005</v>
      </c>
      <c r="J154" s="4" t="n">
        <v>580982.43</v>
      </c>
    </row>
    <row r="155" customFormat="false" ht="15" hidden="false" customHeight="false" outlineLevel="0" collapsed="false">
      <c r="A155" s="4" t="s">
        <v>54</v>
      </c>
      <c r="B155" s="4" t="s">
        <v>91</v>
      </c>
      <c r="C155" s="4" t="n">
        <v>0.899944</v>
      </c>
      <c r="D155" s="4" t="n">
        <v>0.900534066489698</v>
      </c>
      <c r="E155" s="4" t="n">
        <v>0.044959</v>
      </c>
      <c r="F155" s="4" t="n">
        <v>0.0460247577242442</v>
      </c>
      <c r="G155" s="4" t="n">
        <v>-0.00059</v>
      </c>
      <c r="H155" s="4" t="n">
        <v>-2.716E-005</v>
      </c>
      <c r="I155" s="4" t="n">
        <v>3.166E-005</v>
      </c>
      <c r="J155" s="4" t="n">
        <v>453099.21</v>
      </c>
    </row>
    <row r="156" customFormat="false" ht="15" hidden="false" customHeight="false" outlineLevel="0" collapsed="false">
      <c r="A156" s="4" t="s">
        <v>54</v>
      </c>
      <c r="B156" s="4" t="s">
        <v>84</v>
      </c>
      <c r="C156" s="4" t="n">
        <v>0.955844</v>
      </c>
      <c r="D156" s="4" t="n">
        <v>0.95599886081193</v>
      </c>
      <c r="E156" s="4" t="n">
        <v>0.112381</v>
      </c>
      <c r="F156" s="4" t="n">
        <v>0.112353700059487</v>
      </c>
      <c r="G156" s="4" t="n">
        <v>-0.000155</v>
      </c>
      <c r="H156" s="4" t="n">
        <v>-1.74E-005</v>
      </c>
      <c r="I156" s="4" t="n">
        <v>7E-007</v>
      </c>
      <c r="J156" s="4" t="n">
        <v>557049.3</v>
      </c>
    </row>
    <row r="157" customFormat="false" ht="15" hidden="false" customHeight="false" outlineLevel="0" collapsed="false">
      <c r="A157" s="4" t="s">
        <v>54</v>
      </c>
      <c r="B157" s="4" t="s">
        <v>86</v>
      </c>
      <c r="C157" s="4" t="n">
        <v>0.95266</v>
      </c>
      <c r="D157" s="4" t="n">
        <v>0.952609806545809</v>
      </c>
      <c r="E157" s="4" t="n">
        <v>0.061299</v>
      </c>
      <c r="F157" s="4" t="n">
        <v>0.0597708070622492</v>
      </c>
      <c r="G157" s="4" t="n">
        <v>5E-005</v>
      </c>
      <c r="H157" s="4" t="n">
        <v>3E-006</v>
      </c>
      <c r="I157" s="4" t="n">
        <v>3.419E-005</v>
      </c>
      <c r="J157" s="4" t="n">
        <v>315810.12</v>
      </c>
    </row>
    <row r="158" customFormat="false" ht="15" hidden="false" customHeight="false" outlineLevel="0" collapsed="false">
      <c r="A158" s="4" t="s">
        <v>55</v>
      </c>
      <c r="B158" s="4" t="s">
        <v>89</v>
      </c>
      <c r="C158" s="4" t="n">
        <v>0.847771</v>
      </c>
      <c r="D158" s="4" t="n">
        <v>0.866725671961616</v>
      </c>
      <c r="E158" s="4" t="n">
        <v>0.046325</v>
      </c>
      <c r="F158" s="4" t="n">
        <v>0.0468341616451626</v>
      </c>
      <c r="G158" s="4" t="n">
        <v>-0.018955</v>
      </c>
      <c r="H158" s="4" t="n">
        <v>-0.00088773</v>
      </c>
      <c r="I158" s="4" t="n">
        <v>3.234E-005</v>
      </c>
      <c r="J158" s="4" t="n">
        <v>690769.05</v>
      </c>
    </row>
    <row r="159" customFormat="false" ht="15" hidden="false" customHeight="false" outlineLevel="0" collapsed="false">
      <c r="A159" s="4" t="s">
        <v>55</v>
      </c>
      <c r="B159" s="4" t="s">
        <v>80</v>
      </c>
      <c r="C159" s="4" t="n">
        <v>0.945216</v>
      </c>
      <c r="D159" s="4" t="n">
        <v>0.946921293567527</v>
      </c>
      <c r="E159" s="4" t="n">
        <v>0.093884</v>
      </c>
      <c r="F159" s="4" t="n">
        <v>0.0925360304737304</v>
      </c>
      <c r="G159" s="4" t="n">
        <v>-0.001705</v>
      </c>
      <c r="H159" s="4" t="n">
        <v>-0.0001578</v>
      </c>
      <c r="I159" s="4" t="n">
        <v>2.249E-005</v>
      </c>
      <c r="J159" s="4" t="n">
        <v>544506.72</v>
      </c>
    </row>
    <row r="160" customFormat="false" ht="15" hidden="false" customHeight="false" outlineLevel="0" collapsed="false">
      <c r="A160" s="4" t="s">
        <v>55</v>
      </c>
      <c r="B160" s="4" t="s">
        <v>91</v>
      </c>
      <c r="C160" s="4" t="n">
        <v>0.897202</v>
      </c>
      <c r="D160" s="4" t="n">
        <v>0.900534066489698</v>
      </c>
      <c r="E160" s="4" t="n">
        <v>0.043947</v>
      </c>
      <c r="F160" s="4" t="n">
        <v>0.0460247577242442</v>
      </c>
      <c r="G160" s="4" t="n">
        <v>-0.003332</v>
      </c>
      <c r="H160" s="4" t="n">
        <v>-0.00015336</v>
      </c>
      <c r="I160" s="4" t="n">
        <v>6.171E-005</v>
      </c>
      <c r="J160" s="4" t="n">
        <v>509317.68</v>
      </c>
    </row>
    <row r="161" customFormat="false" ht="15" hidden="false" customHeight="false" outlineLevel="0" collapsed="false">
      <c r="A161" s="4" t="s">
        <v>55</v>
      </c>
      <c r="B161" s="4" t="s">
        <v>92</v>
      </c>
      <c r="C161" s="4" t="n">
        <v>0.9429</v>
      </c>
      <c r="D161" s="4" t="n">
        <v>0.938903293959474</v>
      </c>
      <c r="E161" s="4" t="n">
        <v>0.037972</v>
      </c>
      <c r="F161" s="4" t="n">
        <v>0.0378630863815063</v>
      </c>
      <c r="G161" s="4" t="n">
        <v>0.003997</v>
      </c>
      <c r="H161" s="4" t="n">
        <v>0.00015133</v>
      </c>
      <c r="I161" s="4" t="n">
        <v>9.4E-007</v>
      </c>
      <c r="J161" s="4" t="n">
        <v>226250.52</v>
      </c>
    </row>
    <row r="162" customFormat="false" ht="15" hidden="false" customHeight="false" outlineLevel="0" collapsed="false">
      <c r="A162" s="4" t="s">
        <v>55</v>
      </c>
      <c r="B162" s="4" t="s">
        <v>88</v>
      </c>
      <c r="C162" s="4" t="n">
        <v>0.903049</v>
      </c>
      <c r="D162" s="4" t="n">
        <v>0.904690509854531</v>
      </c>
      <c r="E162" s="4" t="n">
        <v>0.077284</v>
      </c>
      <c r="F162" s="4" t="n">
        <v>0.076637388497883</v>
      </c>
      <c r="G162" s="4" t="n">
        <v>-0.001642</v>
      </c>
      <c r="H162" s="4" t="n">
        <v>-0.0001258</v>
      </c>
      <c r="I162" s="4" t="n">
        <v>-1.652E-005</v>
      </c>
      <c r="J162" s="4" t="n">
        <v>853601.84</v>
      </c>
    </row>
    <row r="163" customFormat="false" ht="15" hidden="false" customHeight="false" outlineLevel="0" collapsed="false">
      <c r="A163" s="4" t="s">
        <v>55</v>
      </c>
      <c r="B163" s="4" t="s">
        <v>82</v>
      </c>
      <c r="C163" s="4" t="n">
        <v>0.904869</v>
      </c>
      <c r="D163" s="4" t="n">
        <v>0.906629914405919</v>
      </c>
      <c r="E163" s="4" t="n">
        <v>0.047601</v>
      </c>
      <c r="F163" s="4" t="n">
        <v>0.0501277738265098</v>
      </c>
      <c r="G163" s="4" t="n">
        <v>-0.001761</v>
      </c>
      <c r="H163" s="4" t="n">
        <v>-8.827E-005</v>
      </c>
      <c r="I163" s="4" t="n">
        <v>5.965E-005</v>
      </c>
      <c r="J163" s="4" t="n">
        <v>531075.12</v>
      </c>
    </row>
    <row r="164" customFormat="false" ht="15" hidden="false" customHeight="false" outlineLevel="0" collapsed="false">
      <c r="A164" s="4" t="s">
        <v>55</v>
      </c>
      <c r="B164" s="4" t="s">
        <v>85</v>
      </c>
      <c r="C164" s="4" t="n">
        <v>0.948622</v>
      </c>
      <c r="D164" s="4" t="n">
        <v>0.947259891802722</v>
      </c>
      <c r="E164" s="4" t="n">
        <v>0.03044</v>
      </c>
      <c r="F164" s="4" t="n">
        <v>0.0299770341636814</v>
      </c>
      <c r="G164" s="4" t="n">
        <v>0.001362</v>
      </c>
      <c r="H164" s="4" t="n">
        <v>4.083E-005</v>
      </c>
      <c r="I164" s="4" t="n">
        <v>7.88E-006</v>
      </c>
      <c r="J164" s="4" t="n">
        <v>175487.44</v>
      </c>
    </row>
    <row r="165" customFormat="false" ht="15" hidden="false" customHeight="false" outlineLevel="0" collapsed="false">
      <c r="A165" s="4" t="s">
        <v>55</v>
      </c>
      <c r="B165" s="4" t="s">
        <v>90</v>
      </c>
      <c r="C165" s="4" t="n">
        <v>0.917611</v>
      </c>
      <c r="D165" s="4" t="n">
        <v>0.917809352910417</v>
      </c>
      <c r="E165" s="4" t="n">
        <v>0.192025</v>
      </c>
      <c r="F165" s="4" t="n">
        <v>0.19331227283239</v>
      </c>
      <c r="G165" s="4" t="n">
        <v>-0.000198</v>
      </c>
      <c r="H165" s="4" t="n">
        <v>-3.834E-005</v>
      </c>
      <c r="I165" s="4" t="n">
        <v>1.6E-005</v>
      </c>
      <c r="J165" s="4" t="n">
        <v>1639038</v>
      </c>
    </row>
    <row r="166" customFormat="false" ht="15" hidden="false" customHeight="false" outlineLevel="0" collapsed="false">
      <c r="A166" s="4" t="s">
        <v>55</v>
      </c>
      <c r="B166" s="4" t="s">
        <v>86</v>
      </c>
      <c r="C166" s="4" t="n">
        <v>0.95308</v>
      </c>
      <c r="D166" s="4" t="n">
        <v>0.952609806545809</v>
      </c>
      <c r="E166" s="4" t="n">
        <v>0.060301</v>
      </c>
      <c r="F166" s="4" t="n">
        <v>0.0597708070622492</v>
      </c>
      <c r="G166" s="4" t="n">
        <v>0.00047</v>
      </c>
      <c r="H166" s="4" t="n">
        <v>2.81E-005</v>
      </c>
      <c r="I166" s="4" t="n">
        <v>1.186E-005</v>
      </c>
      <c r="J166" s="4" t="n">
        <v>307513.08</v>
      </c>
    </row>
    <row r="167" customFormat="false" ht="15" hidden="false" customHeight="false" outlineLevel="0" collapsed="false">
      <c r="A167" s="4" t="s">
        <v>55</v>
      </c>
      <c r="B167" s="4" t="s">
        <v>84</v>
      </c>
      <c r="C167" s="4" t="n">
        <v>0.955915</v>
      </c>
      <c r="D167" s="4" t="n">
        <v>0.95599886081193</v>
      </c>
      <c r="E167" s="4" t="n">
        <v>0.114652</v>
      </c>
      <c r="F167" s="4" t="n">
        <v>0.112353700059487</v>
      </c>
      <c r="G167" s="4" t="n">
        <v>-8.4E-005</v>
      </c>
      <c r="H167" s="4" t="n">
        <v>-9.42E-006</v>
      </c>
      <c r="I167" s="4" t="n">
        <v>5.921E-005</v>
      </c>
      <c r="J167" s="4" t="n">
        <v>530951.55</v>
      </c>
    </row>
    <row r="168" customFormat="false" ht="15" hidden="false" customHeight="false" outlineLevel="0" collapsed="false">
      <c r="A168" s="4" t="s">
        <v>55</v>
      </c>
      <c r="B168" s="4" t="s">
        <v>81</v>
      </c>
      <c r="C168" s="4" t="n">
        <v>0.910729</v>
      </c>
      <c r="D168" s="4" t="n">
        <v>0.910609933085884</v>
      </c>
      <c r="E168" s="4" t="n">
        <v>0.055424</v>
      </c>
      <c r="F168" s="4" t="n">
        <v>0.0566226403294049</v>
      </c>
      <c r="G168" s="4" t="n">
        <v>0.000119</v>
      </c>
      <c r="H168" s="4" t="n">
        <v>6.74E-006</v>
      </c>
      <c r="I168" s="4" t="n">
        <v>2.353E-005</v>
      </c>
      <c r="J168" s="4" t="n">
        <v>507840.74</v>
      </c>
    </row>
    <row r="169" customFormat="false" ht="15" hidden="false" customHeight="false" outlineLevel="0" collapsed="false">
      <c r="A169" s="4" t="s">
        <v>55</v>
      </c>
      <c r="B169" s="4" t="s">
        <v>87</v>
      </c>
      <c r="C169" s="4" t="n">
        <v>0.936356</v>
      </c>
      <c r="D169" s="4" t="n">
        <v>0.936150490730643</v>
      </c>
      <c r="E169" s="4" t="n">
        <v>0.026026</v>
      </c>
      <c r="F169" s="4" t="n">
        <v>0.026674695255424</v>
      </c>
      <c r="G169" s="4" t="n">
        <v>0.000206</v>
      </c>
      <c r="H169" s="4" t="n">
        <v>5.48E-006</v>
      </c>
      <c r="I169" s="4" t="n">
        <v>-3.84E-006</v>
      </c>
      <c r="J169" s="4" t="n">
        <v>163613.2</v>
      </c>
    </row>
    <row r="170" customFormat="false" ht="15" hidden="false" customHeight="false" outlineLevel="0" collapsed="false">
      <c r="A170" s="4" t="s">
        <v>55</v>
      </c>
      <c r="B170" s="4" t="s">
        <v>83</v>
      </c>
      <c r="C170" s="4" t="n">
        <v>0.958932</v>
      </c>
      <c r="D170" s="4" t="n">
        <v>0.958958777157106</v>
      </c>
      <c r="E170" s="4" t="n">
        <v>0.15207</v>
      </c>
      <c r="F170" s="4" t="n">
        <v>0.148152188299495</v>
      </c>
      <c r="G170" s="4" t="n">
        <v>-2.7E-005</v>
      </c>
      <c r="H170" s="4" t="n">
        <v>-3.97E-006</v>
      </c>
      <c r="I170" s="4" t="n">
        <v>0.00011253</v>
      </c>
      <c r="J170" s="4" t="n">
        <v>621492.8</v>
      </c>
    </row>
    <row r="171" customFormat="false" ht="15" hidden="false" customHeight="false" outlineLevel="0" collapsed="false">
      <c r="A171" s="4" t="s">
        <v>55</v>
      </c>
      <c r="B171" s="4" t="s">
        <v>79</v>
      </c>
      <c r="C171" s="4" t="n">
        <v>0.928744</v>
      </c>
      <c r="D171" s="4" t="n">
        <v>0.928892804329359</v>
      </c>
      <c r="E171" s="4" t="n">
        <v>0.022048</v>
      </c>
      <c r="F171" s="4" t="n">
        <v>0.0231134634488316</v>
      </c>
      <c r="G171" s="4" t="n">
        <v>-0.000149</v>
      </c>
      <c r="H171" s="4" t="n">
        <v>-3.44E-006</v>
      </c>
      <c r="I171" s="4" t="n">
        <v>1.43E-006</v>
      </c>
      <c r="J171" s="4" t="n">
        <v>169483.71</v>
      </c>
    </row>
    <row r="172" customFormat="false" ht="15" hidden="false" customHeight="false" outlineLevel="0" collapsed="false">
      <c r="A172" s="4" t="s">
        <v>56</v>
      </c>
      <c r="B172" s="4" t="s">
        <v>90</v>
      </c>
      <c r="C172" s="4" t="n">
        <v>0.824239</v>
      </c>
      <c r="D172" s="4" t="n">
        <v>0.917809352910417</v>
      </c>
      <c r="E172" s="4" t="n">
        <v>0.192094</v>
      </c>
      <c r="F172" s="4" t="n">
        <v>0.19331227283239</v>
      </c>
      <c r="G172" s="4" t="n">
        <v>-0.09357</v>
      </c>
      <c r="H172" s="4" t="n">
        <v>-0.0180883</v>
      </c>
      <c r="I172" s="4" t="n">
        <v>1.514E-005</v>
      </c>
      <c r="J172" s="4" t="n">
        <v>3688339.85</v>
      </c>
    </row>
    <row r="173" customFormat="false" ht="15" hidden="false" customHeight="false" outlineLevel="0" collapsed="false">
      <c r="A173" s="4" t="s">
        <v>56</v>
      </c>
      <c r="B173" s="4" t="s">
        <v>89</v>
      </c>
      <c r="C173" s="4" t="n">
        <v>0.848013</v>
      </c>
      <c r="D173" s="4" t="n">
        <v>0.866725671961616</v>
      </c>
      <c r="E173" s="4" t="n">
        <v>0.045504</v>
      </c>
      <c r="F173" s="4" t="n">
        <v>0.0468341616451626</v>
      </c>
      <c r="G173" s="4" t="n">
        <v>-0.018713</v>
      </c>
      <c r="H173" s="4" t="n">
        <v>-0.00087639</v>
      </c>
      <c r="I173" s="4" t="n">
        <v>8.448E-005</v>
      </c>
      <c r="J173" s="4" t="n">
        <v>763571.28</v>
      </c>
    </row>
    <row r="174" customFormat="false" ht="15" hidden="false" customHeight="false" outlineLevel="0" collapsed="false">
      <c r="A174" s="4" t="s">
        <v>56</v>
      </c>
      <c r="B174" s="4" t="s">
        <v>84</v>
      </c>
      <c r="C174" s="4" t="n">
        <v>0.953747</v>
      </c>
      <c r="D174" s="4" t="n">
        <v>0.95599886081193</v>
      </c>
      <c r="E174" s="4" t="n">
        <v>0.114894</v>
      </c>
      <c r="F174" s="4" t="n">
        <v>0.112353700059487</v>
      </c>
      <c r="G174" s="4" t="n">
        <v>-0.002252</v>
      </c>
      <c r="H174" s="4" t="n">
        <v>-0.000253</v>
      </c>
      <c r="I174" s="4" t="n">
        <v>6.544E-005</v>
      </c>
      <c r="J174" s="4" t="n">
        <v>656846.98</v>
      </c>
    </row>
    <row r="175" customFormat="false" ht="15" hidden="false" customHeight="false" outlineLevel="0" collapsed="false">
      <c r="A175" s="4" t="s">
        <v>56</v>
      </c>
      <c r="B175" s="4" t="s">
        <v>83</v>
      </c>
      <c r="C175" s="4" t="n">
        <v>0.960473</v>
      </c>
      <c r="D175" s="4" t="n">
        <v>0.958958777157106</v>
      </c>
      <c r="E175" s="4" t="n">
        <v>0.154117</v>
      </c>
      <c r="F175" s="4" t="n">
        <v>0.148152188299495</v>
      </c>
      <c r="G175" s="4" t="n">
        <v>0.001514</v>
      </c>
      <c r="H175" s="4" t="n">
        <v>0.00022434</v>
      </c>
      <c r="I175" s="4" t="n">
        <v>0.00017132</v>
      </c>
      <c r="J175" s="4" t="n">
        <v>829909.85</v>
      </c>
    </row>
    <row r="176" customFormat="false" ht="15" hidden="false" customHeight="false" outlineLevel="0" collapsed="false">
      <c r="A176" s="4" t="s">
        <v>56</v>
      </c>
      <c r="B176" s="4" t="s">
        <v>82</v>
      </c>
      <c r="C176" s="4" t="n">
        <v>0.90259</v>
      </c>
      <c r="D176" s="4" t="n">
        <v>0.906629914405919</v>
      </c>
      <c r="E176" s="4" t="n">
        <v>0.047219</v>
      </c>
      <c r="F176" s="4" t="n">
        <v>0.0501277738265098</v>
      </c>
      <c r="G176" s="4" t="n">
        <v>-0.00404</v>
      </c>
      <c r="H176" s="4" t="n">
        <v>-0.00020251</v>
      </c>
      <c r="I176" s="4" t="n">
        <v>6.867E-005</v>
      </c>
      <c r="J176" s="4" t="n">
        <v>563096.01</v>
      </c>
    </row>
    <row r="177" customFormat="false" ht="15" hidden="false" customHeight="false" outlineLevel="0" collapsed="false">
      <c r="A177" s="4" t="s">
        <v>56</v>
      </c>
      <c r="B177" s="4" t="s">
        <v>91</v>
      </c>
      <c r="C177" s="4" t="n">
        <v>0.9043</v>
      </c>
      <c r="D177" s="4" t="n">
        <v>0.900534066489698</v>
      </c>
      <c r="E177" s="4" t="n">
        <v>0.043131</v>
      </c>
      <c r="F177" s="4" t="n">
        <v>0.0460247577242442</v>
      </c>
      <c r="G177" s="4" t="n">
        <v>0.003766</v>
      </c>
      <c r="H177" s="4" t="n">
        <v>0.00017333</v>
      </c>
      <c r="I177" s="4" t="n">
        <v>8.595E-005</v>
      </c>
      <c r="J177" s="4" t="n">
        <v>459386.63</v>
      </c>
    </row>
    <row r="178" customFormat="false" ht="15" hidden="false" customHeight="false" outlineLevel="0" collapsed="false">
      <c r="A178" s="4" t="s">
        <v>56</v>
      </c>
      <c r="B178" s="4" t="s">
        <v>81</v>
      </c>
      <c r="C178" s="4" t="n">
        <v>0.91345</v>
      </c>
      <c r="D178" s="4" t="n">
        <v>0.910609933085884</v>
      </c>
      <c r="E178" s="4" t="n">
        <v>0.056561</v>
      </c>
      <c r="F178" s="4" t="n">
        <v>0.0566226403294049</v>
      </c>
      <c r="G178" s="4" t="n">
        <v>0.00284</v>
      </c>
      <c r="H178" s="4" t="n">
        <v>0.00016081</v>
      </c>
      <c r="I178" s="4" t="n">
        <v>1.21E-006</v>
      </c>
      <c r="J178" s="4" t="n">
        <v>564927.12</v>
      </c>
    </row>
    <row r="179" customFormat="false" ht="15" hidden="false" customHeight="false" outlineLevel="0" collapsed="false">
      <c r="A179" s="4" t="s">
        <v>56</v>
      </c>
      <c r="B179" s="4" t="s">
        <v>88</v>
      </c>
      <c r="C179" s="4" t="n">
        <v>0.902656</v>
      </c>
      <c r="D179" s="4" t="n">
        <v>0.904690509854531</v>
      </c>
      <c r="E179" s="4" t="n">
        <v>0.076578</v>
      </c>
      <c r="F179" s="4" t="n">
        <v>0.076637388497883</v>
      </c>
      <c r="G179" s="4" t="n">
        <v>-0.002035</v>
      </c>
      <c r="H179" s="4" t="n">
        <v>-0.00015592</v>
      </c>
      <c r="I179" s="4" t="n">
        <v>1.52E-006</v>
      </c>
      <c r="J179" s="4" t="n">
        <v>856080.09</v>
      </c>
    </row>
    <row r="180" customFormat="false" ht="15" hidden="false" customHeight="false" outlineLevel="0" collapsed="false">
      <c r="A180" s="4" t="s">
        <v>56</v>
      </c>
      <c r="B180" s="4" t="s">
        <v>80</v>
      </c>
      <c r="C180" s="4" t="n">
        <v>0.945309</v>
      </c>
      <c r="D180" s="4" t="n">
        <v>0.946921293567527</v>
      </c>
      <c r="E180" s="4" t="n">
        <v>0.094189</v>
      </c>
      <c r="F180" s="4" t="n">
        <v>0.0925360304737304</v>
      </c>
      <c r="G180" s="4" t="n">
        <v>-0.001612</v>
      </c>
      <c r="H180" s="4" t="n">
        <v>-0.0001492</v>
      </c>
      <c r="I180" s="4" t="n">
        <v>2.758E-005</v>
      </c>
      <c r="J180" s="4" t="n">
        <v>617037.63</v>
      </c>
    </row>
    <row r="181" customFormat="false" ht="15" hidden="false" customHeight="false" outlineLevel="0" collapsed="false">
      <c r="A181" s="4" t="s">
        <v>56</v>
      </c>
      <c r="B181" s="4" t="s">
        <v>92</v>
      </c>
      <c r="C181" s="4" t="n">
        <v>0.942197</v>
      </c>
      <c r="D181" s="4" t="n">
        <v>0.938903293959474</v>
      </c>
      <c r="E181" s="4" t="n">
        <v>0.037947</v>
      </c>
      <c r="F181" s="4" t="n">
        <v>0.0378630863815063</v>
      </c>
      <c r="G181" s="4" t="n">
        <v>0.003294</v>
      </c>
      <c r="H181" s="4" t="n">
        <v>0.00012471</v>
      </c>
      <c r="I181" s="4" t="n">
        <v>7.3E-007</v>
      </c>
      <c r="J181" s="4" t="n">
        <v>243720.31</v>
      </c>
    </row>
    <row r="182" customFormat="false" ht="15" hidden="false" customHeight="false" outlineLevel="0" collapsed="false">
      <c r="A182" s="4" t="s">
        <v>56</v>
      </c>
      <c r="B182" s="4" t="s">
        <v>87</v>
      </c>
      <c r="C182" s="4" t="n">
        <v>0.933947</v>
      </c>
      <c r="D182" s="4" t="n">
        <v>0.936150490730643</v>
      </c>
      <c r="E182" s="4" t="n">
        <v>0.026365</v>
      </c>
      <c r="F182" s="4" t="n">
        <v>0.026674695255424</v>
      </c>
      <c r="G182" s="4" t="n">
        <v>-0.002203</v>
      </c>
      <c r="H182" s="4" t="n">
        <v>-5.878E-005</v>
      </c>
      <c r="I182" s="4" t="n">
        <v>-1.83E-006</v>
      </c>
      <c r="J182" s="4" t="n">
        <v>200768.5</v>
      </c>
    </row>
    <row r="183" customFormat="false" ht="15" hidden="false" customHeight="false" outlineLevel="0" collapsed="false">
      <c r="A183" s="4" t="s">
        <v>56</v>
      </c>
      <c r="B183" s="4" t="s">
        <v>79</v>
      </c>
      <c r="C183" s="4" t="n">
        <v>0.930165</v>
      </c>
      <c r="D183" s="4" t="n">
        <v>0.928892804329359</v>
      </c>
      <c r="E183" s="4" t="n">
        <v>0.021606</v>
      </c>
      <c r="F183" s="4" t="n">
        <v>0.0231134634488316</v>
      </c>
      <c r="G183" s="4" t="n">
        <v>0.001272</v>
      </c>
      <c r="H183" s="4" t="n">
        <v>2.94E-005</v>
      </c>
      <c r="I183" s="4" t="n">
        <v>2.03E-006</v>
      </c>
      <c r="J183" s="4" t="n">
        <v>188241.08</v>
      </c>
    </row>
    <row r="184" customFormat="false" ht="15" hidden="false" customHeight="false" outlineLevel="0" collapsed="false">
      <c r="A184" s="4" t="s">
        <v>56</v>
      </c>
      <c r="B184" s="4" t="s">
        <v>86</v>
      </c>
      <c r="C184" s="4" t="n">
        <v>0.953078</v>
      </c>
      <c r="D184" s="4" t="n">
        <v>0.952609806545809</v>
      </c>
      <c r="E184" s="4" t="n">
        <v>0.060134</v>
      </c>
      <c r="F184" s="4" t="n">
        <v>0.0597708070622492</v>
      </c>
      <c r="G184" s="4" t="n">
        <v>0.000468</v>
      </c>
      <c r="H184" s="4" t="n">
        <v>2.798E-005</v>
      </c>
      <c r="I184" s="4" t="n">
        <v>8.13E-006</v>
      </c>
      <c r="J184" s="4" t="n">
        <v>310806.2</v>
      </c>
    </row>
    <row r="185" customFormat="false" ht="15" hidden="false" customHeight="false" outlineLevel="0" collapsed="false">
      <c r="A185" s="4" t="s">
        <v>56</v>
      </c>
      <c r="B185" s="4" t="s">
        <v>85</v>
      </c>
      <c r="C185" s="4" t="n">
        <v>0.948117</v>
      </c>
      <c r="D185" s="4" t="n">
        <v>0.947259891802722</v>
      </c>
      <c r="E185" s="4" t="n">
        <v>0.029658</v>
      </c>
      <c r="F185" s="4" t="n">
        <v>0.0299770341636814</v>
      </c>
      <c r="G185" s="4" t="n">
        <v>0.000857</v>
      </c>
      <c r="H185" s="4" t="n">
        <v>2.569E-005</v>
      </c>
      <c r="I185" s="4" t="n">
        <v>-5.43E-006</v>
      </c>
      <c r="J185" s="4" t="n">
        <v>178433.97</v>
      </c>
    </row>
    <row r="186" customFormat="false" ht="15" hidden="false" customHeight="false" outlineLevel="0" collapsed="false">
      <c r="A186" s="4" t="s">
        <v>57</v>
      </c>
      <c r="B186" s="4" t="s">
        <v>90</v>
      </c>
      <c r="C186" s="4" t="n">
        <v>0.731669</v>
      </c>
      <c r="D186" s="4" t="n">
        <v>0.917809352910417</v>
      </c>
      <c r="E186" s="4" t="n">
        <v>0.191473</v>
      </c>
      <c r="F186" s="4" t="n">
        <v>0.19331227283239</v>
      </c>
      <c r="G186" s="4" t="n">
        <v>-0.18614</v>
      </c>
      <c r="H186" s="4" t="n">
        <v>-0.03598321</v>
      </c>
      <c r="I186" s="4" t="n">
        <v>2.286E-005</v>
      </c>
      <c r="J186" s="4" t="n">
        <v>6104054.86</v>
      </c>
    </row>
    <row r="187" customFormat="false" ht="15" hidden="false" customHeight="false" outlineLevel="0" collapsed="false">
      <c r="A187" s="4" t="s">
        <v>57</v>
      </c>
      <c r="B187" s="4" t="s">
        <v>89</v>
      </c>
      <c r="C187" s="4" t="n">
        <v>0.845328</v>
      </c>
      <c r="D187" s="4" t="n">
        <v>0.866725671961616</v>
      </c>
      <c r="E187" s="4" t="n">
        <v>0.044965</v>
      </c>
      <c r="F187" s="4" t="n">
        <v>0.0468341616451626</v>
      </c>
      <c r="G187" s="4" t="n">
        <v>-0.021398</v>
      </c>
      <c r="H187" s="4" t="n">
        <v>-0.00100214</v>
      </c>
      <c r="I187" s="4" t="n">
        <v>0.00011871</v>
      </c>
      <c r="J187" s="4" t="n">
        <v>855061.83</v>
      </c>
    </row>
    <row r="188" customFormat="false" ht="15" hidden="false" customHeight="false" outlineLevel="0" collapsed="false">
      <c r="A188" s="4" t="s">
        <v>57</v>
      </c>
      <c r="B188" s="4" t="s">
        <v>86</v>
      </c>
      <c r="C188" s="4" t="n">
        <v>0.955211</v>
      </c>
      <c r="D188" s="4" t="n">
        <v>0.952609806545809</v>
      </c>
      <c r="E188" s="4" t="n">
        <v>0.060153</v>
      </c>
      <c r="F188" s="4" t="n">
        <v>0.0597708070622492</v>
      </c>
      <c r="G188" s="4" t="n">
        <v>0.002601</v>
      </c>
      <c r="H188" s="4" t="n">
        <v>0.00015548</v>
      </c>
      <c r="I188" s="4" t="n">
        <v>8.55E-006</v>
      </c>
      <c r="J188" s="4" t="n">
        <v>342228.16</v>
      </c>
    </row>
    <row r="189" customFormat="false" ht="15" hidden="false" customHeight="false" outlineLevel="0" collapsed="false">
      <c r="A189" s="4" t="s">
        <v>57</v>
      </c>
      <c r="B189" s="4" t="s">
        <v>84</v>
      </c>
      <c r="C189" s="4" t="n">
        <v>0.956831</v>
      </c>
      <c r="D189" s="4" t="n">
        <v>0.95599886081193</v>
      </c>
      <c r="E189" s="4" t="n">
        <v>0.115135</v>
      </c>
      <c r="F189" s="4" t="n">
        <v>0.112353700059487</v>
      </c>
      <c r="G189" s="4" t="n">
        <v>0.000832</v>
      </c>
      <c r="H189" s="4" t="n">
        <v>9.349E-005</v>
      </c>
      <c r="I189" s="4" t="n">
        <v>7.165E-005</v>
      </c>
      <c r="J189" s="4" t="n">
        <v>676094.41</v>
      </c>
    </row>
    <row r="190" customFormat="false" ht="15" hidden="false" customHeight="false" outlineLevel="0" collapsed="false">
      <c r="A190" s="4" t="s">
        <v>57</v>
      </c>
      <c r="B190" s="4" t="s">
        <v>81</v>
      </c>
      <c r="C190" s="4" t="n">
        <v>0.912259</v>
      </c>
      <c r="D190" s="4" t="n">
        <v>0.910609933085884</v>
      </c>
      <c r="E190" s="4" t="n">
        <v>0.05762</v>
      </c>
      <c r="F190" s="4" t="n">
        <v>0.0566226403294049</v>
      </c>
      <c r="G190" s="4" t="n">
        <v>0.001649</v>
      </c>
      <c r="H190" s="4" t="n">
        <v>9.337E-005</v>
      </c>
      <c r="I190" s="4" t="n">
        <v>-1.957E-005</v>
      </c>
      <c r="J190" s="4" t="n">
        <v>665113.88</v>
      </c>
    </row>
    <row r="191" customFormat="false" ht="15" hidden="false" customHeight="false" outlineLevel="0" collapsed="false">
      <c r="A191" s="4" t="s">
        <v>57</v>
      </c>
      <c r="B191" s="4" t="s">
        <v>83</v>
      </c>
      <c r="C191" s="4" t="n">
        <v>0.95952</v>
      </c>
      <c r="D191" s="4" t="n">
        <v>0.958958777157106</v>
      </c>
      <c r="E191" s="4" t="n">
        <v>0.152315</v>
      </c>
      <c r="F191" s="4" t="n">
        <v>0.148152188299495</v>
      </c>
      <c r="G191" s="4" t="n">
        <v>0.000561</v>
      </c>
      <c r="H191" s="4" t="n">
        <v>8.315E-005</v>
      </c>
      <c r="I191" s="4" t="n">
        <v>0.00011957</v>
      </c>
      <c r="J191" s="4" t="n">
        <v>790791.37</v>
      </c>
    </row>
    <row r="192" customFormat="false" ht="15" hidden="false" customHeight="false" outlineLevel="0" collapsed="false">
      <c r="A192" s="4" t="s">
        <v>57</v>
      </c>
      <c r="B192" s="4" t="s">
        <v>88</v>
      </c>
      <c r="C192" s="4" t="n">
        <v>0.905607</v>
      </c>
      <c r="D192" s="4" t="n">
        <v>0.904690509854531</v>
      </c>
      <c r="E192" s="4" t="n">
        <v>0.077454</v>
      </c>
      <c r="F192" s="4" t="n">
        <v>0.076637388497883</v>
      </c>
      <c r="G192" s="4" t="n">
        <v>0.000916</v>
      </c>
      <c r="H192" s="4" t="n">
        <v>7.024E-005</v>
      </c>
      <c r="I192" s="4" t="n">
        <v>-2.086E-005</v>
      </c>
      <c r="J192" s="4" t="n">
        <v>995332.98</v>
      </c>
    </row>
    <row r="193" customFormat="false" ht="15" hidden="false" customHeight="false" outlineLevel="0" collapsed="false">
      <c r="A193" s="4" t="s">
        <v>57</v>
      </c>
      <c r="B193" s="4" t="s">
        <v>82</v>
      </c>
      <c r="C193" s="4" t="n">
        <v>0.905348</v>
      </c>
      <c r="D193" s="4" t="n">
        <v>0.906629914405919</v>
      </c>
      <c r="E193" s="4" t="n">
        <v>0.048125</v>
      </c>
      <c r="F193" s="4" t="n">
        <v>0.0501277738265098</v>
      </c>
      <c r="G193" s="4" t="n">
        <v>-0.001282</v>
      </c>
      <c r="H193" s="4" t="n">
        <v>-6.426E-005</v>
      </c>
      <c r="I193" s="4" t="n">
        <v>4.728E-005</v>
      </c>
      <c r="J193" s="4" t="n">
        <v>556892.5</v>
      </c>
    </row>
    <row r="194" customFormat="false" ht="15" hidden="false" customHeight="false" outlineLevel="0" collapsed="false">
      <c r="A194" s="4" t="s">
        <v>57</v>
      </c>
      <c r="B194" s="4" t="s">
        <v>91</v>
      </c>
      <c r="C194" s="4" t="n">
        <v>0.9019</v>
      </c>
      <c r="D194" s="4" t="n">
        <v>0.900534066489698</v>
      </c>
      <c r="E194" s="4" t="n">
        <v>0.043702</v>
      </c>
      <c r="F194" s="4" t="n">
        <v>0.0460247577242442</v>
      </c>
      <c r="G194" s="4" t="n">
        <v>0.001366</v>
      </c>
      <c r="H194" s="4" t="n">
        <v>6.287E-005</v>
      </c>
      <c r="I194" s="4" t="n">
        <v>6.899E-005</v>
      </c>
      <c r="J194" s="4" t="n">
        <v>524996.68</v>
      </c>
    </row>
    <row r="195" customFormat="false" ht="15" hidden="false" customHeight="false" outlineLevel="0" collapsed="false">
      <c r="A195" s="4" t="s">
        <v>57</v>
      </c>
      <c r="B195" s="4" t="s">
        <v>87</v>
      </c>
      <c r="C195" s="4" t="n">
        <v>0.933989</v>
      </c>
      <c r="D195" s="4" t="n">
        <v>0.936150490730643</v>
      </c>
      <c r="E195" s="4" t="n">
        <v>0.027254</v>
      </c>
      <c r="F195" s="4" t="n">
        <v>0.026674695255424</v>
      </c>
      <c r="G195" s="4" t="n">
        <v>-0.002161</v>
      </c>
      <c r="H195" s="4" t="n">
        <v>-5.766E-005</v>
      </c>
      <c r="I195" s="4" t="n">
        <v>3.43E-006</v>
      </c>
      <c r="J195" s="4" t="n">
        <v>243911.59</v>
      </c>
    </row>
    <row r="196" customFormat="false" ht="15" hidden="false" customHeight="false" outlineLevel="0" collapsed="false">
      <c r="A196" s="4" t="s">
        <v>57</v>
      </c>
      <c r="B196" s="4" t="s">
        <v>85</v>
      </c>
      <c r="C196" s="4" t="n">
        <v>0.948094</v>
      </c>
      <c r="D196" s="4" t="n">
        <v>0.947259891802722</v>
      </c>
      <c r="E196" s="4" t="n">
        <v>0.030122</v>
      </c>
      <c r="F196" s="4" t="n">
        <v>0.0299770341636814</v>
      </c>
      <c r="G196" s="4" t="n">
        <v>0.000834</v>
      </c>
      <c r="H196" s="4" t="n">
        <v>2.5E-005</v>
      </c>
      <c r="I196" s="4" t="n">
        <v>2.47E-006</v>
      </c>
      <c r="J196" s="4" t="n">
        <v>227282.31</v>
      </c>
    </row>
    <row r="197" customFormat="false" ht="15" hidden="false" customHeight="false" outlineLevel="0" collapsed="false">
      <c r="A197" s="4" t="s">
        <v>57</v>
      </c>
      <c r="B197" s="4" t="s">
        <v>79</v>
      </c>
      <c r="C197" s="4" t="n">
        <v>0.929562</v>
      </c>
      <c r="D197" s="4" t="n">
        <v>0.928892804329359</v>
      </c>
      <c r="E197" s="4" t="n">
        <v>0.021863</v>
      </c>
      <c r="F197" s="4" t="n">
        <v>0.0231134634488316</v>
      </c>
      <c r="G197" s="4" t="n">
        <v>0.000669</v>
      </c>
      <c r="H197" s="4" t="n">
        <v>1.547E-005</v>
      </c>
      <c r="I197" s="4" t="n">
        <v>1.68E-006</v>
      </c>
      <c r="J197" s="4" t="n">
        <v>234270.7</v>
      </c>
    </row>
    <row r="198" customFormat="false" ht="15" hidden="false" customHeight="false" outlineLevel="0" collapsed="false">
      <c r="A198" s="4" t="s">
        <v>57</v>
      </c>
      <c r="B198" s="4" t="s">
        <v>92</v>
      </c>
      <c r="C198" s="4" t="n">
        <v>0.93867</v>
      </c>
      <c r="D198" s="4" t="n">
        <v>0.938903293959474</v>
      </c>
      <c r="E198" s="4" t="n">
        <v>0.037736</v>
      </c>
      <c r="F198" s="4" t="n">
        <v>0.0378630863815063</v>
      </c>
      <c r="G198" s="4" t="n">
        <v>-0.000233</v>
      </c>
      <c r="H198" s="4" t="n">
        <v>-8.83E-006</v>
      </c>
      <c r="I198" s="4" t="n">
        <v>-1.1E-006</v>
      </c>
      <c r="J198" s="4" t="n">
        <v>276595.38</v>
      </c>
    </row>
    <row r="199" customFormat="false" ht="15" hidden="false" customHeight="false" outlineLevel="0" collapsed="false">
      <c r="A199" s="4" t="s">
        <v>57</v>
      </c>
      <c r="B199" s="4" t="s">
        <v>80</v>
      </c>
      <c r="C199" s="4" t="n">
        <v>0.946855</v>
      </c>
      <c r="D199" s="4" t="n">
        <v>0.946921293567527</v>
      </c>
      <c r="E199" s="4" t="n">
        <v>0.092083</v>
      </c>
      <c r="F199" s="4" t="n">
        <v>0.0925360304737304</v>
      </c>
      <c r="G199" s="4" t="n">
        <v>-6.6E-005</v>
      </c>
      <c r="H199" s="4" t="n">
        <v>-6.13E-006</v>
      </c>
      <c r="I199" s="4" t="n">
        <v>-7.56E-006</v>
      </c>
      <c r="J199" s="4" t="n">
        <v>600614.15</v>
      </c>
    </row>
    <row r="200" customFormat="false" ht="15" hidden="false" customHeight="false" outlineLevel="0" collapsed="false">
      <c r="A200" s="4" t="s">
        <v>58</v>
      </c>
      <c r="B200" s="4" t="s">
        <v>90</v>
      </c>
      <c r="C200" s="4" t="n">
        <v>0.732967</v>
      </c>
      <c r="D200" s="4" t="n">
        <v>0.917809352910417</v>
      </c>
      <c r="E200" s="4" t="n">
        <v>0.189318</v>
      </c>
      <c r="F200" s="4" t="n">
        <v>0.19331227283239</v>
      </c>
      <c r="G200" s="4" t="n">
        <v>-0.184842</v>
      </c>
      <c r="H200" s="4" t="n">
        <v>-0.0357323</v>
      </c>
      <c r="I200" s="4" t="n">
        <v>4.964E-005</v>
      </c>
      <c r="J200" s="4" t="n">
        <v>7353281.26</v>
      </c>
    </row>
    <row r="201" customFormat="false" ht="15" hidden="false" customHeight="false" outlineLevel="0" collapsed="false">
      <c r="A201" s="4" t="s">
        <v>58</v>
      </c>
      <c r="B201" s="4" t="s">
        <v>89</v>
      </c>
      <c r="C201" s="4" t="n">
        <v>0.833155</v>
      </c>
      <c r="D201" s="4" t="n">
        <v>0.866725671961616</v>
      </c>
      <c r="E201" s="4" t="n">
        <v>0.045357</v>
      </c>
      <c r="F201" s="4" t="n">
        <v>0.0468341616451626</v>
      </c>
      <c r="G201" s="4" t="n">
        <v>-0.033571</v>
      </c>
      <c r="H201" s="4" t="n">
        <v>-0.00157225</v>
      </c>
      <c r="I201" s="4" t="n">
        <v>9.382E-005</v>
      </c>
      <c r="J201" s="4" t="n">
        <v>1077760.96</v>
      </c>
    </row>
    <row r="202" customFormat="false" ht="15" hidden="false" customHeight="false" outlineLevel="0" collapsed="false">
      <c r="A202" s="4" t="s">
        <v>58</v>
      </c>
      <c r="B202" s="4" t="s">
        <v>81</v>
      </c>
      <c r="C202" s="4" t="n">
        <v>0.904806</v>
      </c>
      <c r="D202" s="4" t="n">
        <v>0.910609933085884</v>
      </c>
      <c r="E202" s="4" t="n">
        <v>0.058071</v>
      </c>
      <c r="F202" s="4" t="n">
        <v>0.0566226403294049</v>
      </c>
      <c r="G202" s="4" t="n">
        <v>-0.005804</v>
      </c>
      <c r="H202" s="4" t="n">
        <v>-0.00032863</v>
      </c>
      <c r="I202" s="4" t="n">
        <v>-2.843E-005</v>
      </c>
      <c r="J202" s="4" t="n">
        <v>940850.54</v>
      </c>
    </row>
    <row r="203" customFormat="false" ht="15" hidden="false" customHeight="false" outlineLevel="0" collapsed="false">
      <c r="A203" s="4" t="s">
        <v>58</v>
      </c>
      <c r="B203" s="4" t="s">
        <v>88</v>
      </c>
      <c r="C203" s="4" t="n">
        <v>0.908688</v>
      </c>
      <c r="D203" s="4" t="n">
        <v>0.904690509854531</v>
      </c>
      <c r="E203" s="4" t="n">
        <v>0.075155</v>
      </c>
      <c r="F203" s="4" t="n">
        <v>0.076637388497883</v>
      </c>
      <c r="G203" s="4" t="n">
        <v>0.003997</v>
      </c>
      <c r="H203" s="4" t="n">
        <v>0.00030636</v>
      </c>
      <c r="I203" s="4" t="n">
        <v>3.787E-005</v>
      </c>
      <c r="J203" s="4" t="n">
        <v>1102206.03</v>
      </c>
    </row>
    <row r="204" customFormat="false" ht="15" hidden="false" customHeight="false" outlineLevel="0" collapsed="false">
      <c r="A204" s="4" t="s">
        <v>58</v>
      </c>
      <c r="B204" s="4" t="s">
        <v>84</v>
      </c>
      <c r="C204" s="4" t="n">
        <v>0.954378</v>
      </c>
      <c r="D204" s="4" t="n">
        <v>0.95599886081193</v>
      </c>
      <c r="E204" s="4" t="n">
        <v>0.116854</v>
      </c>
      <c r="F204" s="4" t="n">
        <v>0.112353700059487</v>
      </c>
      <c r="G204" s="4" t="n">
        <v>-0.001621</v>
      </c>
      <c r="H204" s="4" t="n">
        <v>-0.00018211</v>
      </c>
      <c r="I204" s="4" t="n">
        <v>0.00011594</v>
      </c>
      <c r="J204" s="4" t="n">
        <v>929788.56</v>
      </c>
    </row>
    <row r="205" customFormat="false" ht="15" hidden="false" customHeight="false" outlineLevel="0" collapsed="false">
      <c r="A205" s="4" t="s">
        <v>58</v>
      </c>
      <c r="B205" s="4" t="s">
        <v>80</v>
      </c>
      <c r="C205" s="4" t="n">
        <v>0.945459</v>
      </c>
      <c r="D205" s="4" t="n">
        <v>0.946921293567527</v>
      </c>
      <c r="E205" s="4" t="n">
        <v>0.092529</v>
      </c>
      <c r="F205" s="4" t="n">
        <v>0.0925360304737304</v>
      </c>
      <c r="G205" s="4" t="n">
        <v>-0.001462</v>
      </c>
      <c r="H205" s="4" t="n">
        <v>-0.00013531</v>
      </c>
      <c r="I205" s="4" t="n">
        <v>-1.2E-007</v>
      </c>
      <c r="J205" s="4" t="n">
        <v>828187.37</v>
      </c>
    </row>
    <row r="206" customFormat="false" ht="15" hidden="false" customHeight="false" outlineLevel="0" collapsed="false">
      <c r="A206" s="4" t="s">
        <v>58</v>
      </c>
      <c r="B206" s="4" t="s">
        <v>79</v>
      </c>
      <c r="C206" s="4" t="n">
        <v>0.934708</v>
      </c>
      <c r="D206" s="4" t="n">
        <v>0.928892804329359</v>
      </c>
      <c r="E206" s="4" t="n">
        <v>0.021334</v>
      </c>
      <c r="F206" s="4" t="n">
        <v>0.0231134634488316</v>
      </c>
      <c r="G206" s="4" t="n">
        <v>0.005815</v>
      </c>
      <c r="H206" s="4" t="n">
        <v>0.00013441</v>
      </c>
      <c r="I206" s="4" t="n">
        <v>2.39E-006</v>
      </c>
      <c r="J206" s="4" t="n">
        <v>250683.61</v>
      </c>
    </row>
    <row r="207" customFormat="false" ht="15" hidden="false" customHeight="false" outlineLevel="0" collapsed="false">
      <c r="A207" s="4" t="s">
        <v>58</v>
      </c>
      <c r="B207" s="4" t="s">
        <v>91</v>
      </c>
      <c r="C207" s="4" t="n">
        <v>0.897638</v>
      </c>
      <c r="D207" s="4" t="n">
        <v>0.900534066489698</v>
      </c>
      <c r="E207" s="4" t="n">
        <v>0.044457</v>
      </c>
      <c r="F207" s="4" t="n">
        <v>0.0460247577242442</v>
      </c>
      <c r="G207" s="4" t="n">
        <v>-0.002896</v>
      </c>
      <c r="H207" s="4" t="n">
        <v>-0.00013329</v>
      </c>
      <c r="I207" s="4" t="n">
        <v>4.657E-005</v>
      </c>
      <c r="J207" s="4" t="n">
        <v>751753.97</v>
      </c>
    </row>
    <row r="208" customFormat="false" ht="15" hidden="false" customHeight="false" outlineLevel="0" collapsed="false">
      <c r="A208" s="4" t="s">
        <v>58</v>
      </c>
      <c r="B208" s="4" t="s">
        <v>82</v>
      </c>
      <c r="C208" s="4" t="n">
        <v>0.909095</v>
      </c>
      <c r="D208" s="4" t="n">
        <v>0.906629914405919</v>
      </c>
      <c r="E208" s="4" t="n">
        <v>0.049312</v>
      </c>
      <c r="F208" s="4" t="n">
        <v>0.0501277738265098</v>
      </c>
      <c r="G208" s="4" t="n">
        <v>0.002465</v>
      </c>
      <c r="H208" s="4" t="n">
        <v>0.00012357</v>
      </c>
      <c r="I208" s="4" t="n">
        <v>1.926E-005</v>
      </c>
      <c r="J208" s="4" t="n">
        <v>728739.25</v>
      </c>
    </row>
    <row r="209" customFormat="false" ht="15" hidden="false" customHeight="false" outlineLevel="0" collapsed="false">
      <c r="A209" s="4" t="s">
        <v>58</v>
      </c>
      <c r="B209" s="4" t="s">
        <v>83</v>
      </c>
      <c r="C209" s="4" t="n">
        <v>0.959557</v>
      </c>
      <c r="D209" s="4" t="n">
        <v>0.958958777157106</v>
      </c>
      <c r="E209" s="4" t="n">
        <v>0.151774</v>
      </c>
      <c r="F209" s="4" t="n">
        <v>0.148152188299495</v>
      </c>
      <c r="G209" s="4" t="n">
        <v>0.000598</v>
      </c>
      <c r="H209" s="4" t="n">
        <v>8.863E-005</v>
      </c>
      <c r="I209" s="4" t="n">
        <v>0.00010403</v>
      </c>
      <c r="J209" s="4" t="n">
        <v>981959.66</v>
      </c>
    </row>
    <row r="210" customFormat="false" ht="15" hidden="false" customHeight="false" outlineLevel="0" collapsed="false">
      <c r="A210" s="4" t="s">
        <v>58</v>
      </c>
      <c r="B210" s="4" t="s">
        <v>86</v>
      </c>
      <c r="C210" s="4" t="n">
        <v>0.953825</v>
      </c>
      <c r="D210" s="4" t="n">
        <v>0.952609806545809</v>
      </c>
      <c r="E210" s="4" t="n">
        <v>0.060543</v>
      </c>
      <c r="F210" s="4" t="n">
        <v>0.0597708070622492</v>
      </c>
      <c r="G210" s="4" t="n">
        <v>0.001215</v>
      </c>
      <c r="H210" s="4" t="n">
        <v>7.263E-005</v>
      </c>
      <c r="I210" s="4" t="n">
        <v>1.728E-005</v>
      </c>
      <c r="J210" s="4" t="n">
        <v>464983.84</v>
      </c>
    </row>
    <row r="211" customFormat="false" ht="15" hidden="false" customHeight="false" outlineLevel="0" collapsed="false">
      <c r="A211" s="4" t="s">
        <v>58</v>
      </c>
      <c r="B211" s="4" t="s">
        <v>85</v>
      </c>
      <c r="C211" s="4" t="n">
        <v>0.948803</v>
      </c>
      <c r="D211" s="4" t="n">
        <v>0.947259891802722</v>
      </c>
      <c r="E211" s="4" t="n">
        <v>0.030151</v>
      </c>
      <c r="F211" s="4" t="n">
        <v>0.0299770341636814</v>
      </c>
      <c r="G211" s="4" t="n">
        <v>0.001543</v>
      </c>
      <c r="H211" s="4" t="n">
        <v>4.626E-005</v>
      </c>
      <c r="I211" s="4" t="n">
        <v>2.96E-006</v>
      </c>
      <c r="J211" s="4" t="n">
        <v>249063.02</v>
      </c>
    </row>
    <row r="212" customFormat="false" ht="15" hidden="false" customHeight="false" outlineLevel="0" collapsed="false">
      <c r="A212" s="4" t="s">
        <v>58</v>
      </c>
      <c r="B212" s="4" t="s">
        <v>92</v>
      </c>
      <c r="C212" s="4" t="n">
        <v>0.939764</v>
      </c>
      <c r="D212" s="4" t="n">
        <v>0.938903293959474</v>
      </c>
      <c r="E212" s="4" t="n">
        <v>0.038258</v>
      </c>
      <c r="F212" s="4" t="n">
        <v>0.0378630863815063</v>
      </c>
      <c r="G212" s="4" t="n">
        <v>0.000861</v>
      </c>
      <c r="H212" s="4" t="n">
        <v>3.259E-005</v>
      </c>
      <c r="I212" s="4" t="n">
        <v>3.42E-006</v>
      </c>
      <c r="J212" s="4" t="n">
        <v>370267.17</v>
      </c>
    </row>
    <row r="213" customFormat="false" ht="15" hidden="false" customHeight="false" outlineLevel="0" collapsed="false">
      <c r="A213" s="4" t="s">
        <v>58</v>
      </c>
      <c r="B213" s="4" t="s">
        <v>87</v>
      </c>
      <c r="C213" s="4" t="n">
        <v>0.936438</v>
      </c>
      <c r="D213" s="4" t="n">
        <v>0.936150490730643</v>
      </c>
      <c r="E213" s="4" t="n">
        <v>0.026886</v>
      </c>
      <c r="F213" s="4" t="n">
        <v>0.026674695255424</v>
      </c>
      <c r="G213" s="4" t="n">
        <v>0.000288</v>
      </c>
      <c r="H213" s="4" t="n">
        <v>7.67E-006</v>
      </c>
      <c r="I213" s="4" t="n">
        <v>1.25E-006</v>
      </c>
      <c r="J213" s="4" t="n">
        <v>257166.66</v>
      </c>
    </row>
    <row r="214" customFormat="false" ht="15" hidden="false" customHeight="false" outlineLevel="0" collapsed="false">
      <c r="A214" s="4" t="s">
        <v>59</v>
      </c>
      <c r="B214" s="4" t="s">
        <v>90</v>
      </c>
      <c r="C214" s="4" t="n">
        <v>0.733583</v>
      </c>
      <c r="D214" s="4" t="n">
        <v>0.917809352910417</v>
      </c>
      <c r="E214" s="4" t="n">
        <v>0.188509</v>
      </c>
      <c r="F214" s="4" t="n">
        <v>0.19331227283239</v>
      </c>
      <c r="G214" s="4" t="n">
        <v>-0.184226</v>
      </c>
      <c r="H214" s="4" t="n">
        <v>-0.03561321</v>
      </c>
      <c r="I214" s="4" t="n">
        <v>5.969E-005</v>
      </c>
      <c r="J214" s="4" t="n">
        <v>7192034.4</v>
      </c>
    </row>
    <row r="215" customFormat="false" ht="15" hidden="false" customHeight="false" outlineLevel="0" collapsed="false">
      <c r="A215" s="4" t="s">
        <v>59</v>
      </c>
      <c r="B215" s="4" t="s">
        <v>89</v>
      </c>
      <c r="C215" s="4" t="n">
        <v>0.834862</v>
      </c>
      <c r="D215" s="4" t="n">
        <v>0.866725671961616</v>
      </c>
      <c r="E215" s="4" t="n">
        <v>0.04582</v>
      </c>
      <c r="F215" s="4" t="n">
        <v>0.0468341616451626</v>
      </c>
      <c r="G215" s="4" t="n">
        <v>-0.031864</v>
      </c>
      <c r="H215" s="4" t="n">
        <v>-0.00149231</v>
      </c>
      <c r="I215" s="4" t="n">
        <v>6.441E-005</v>
      </c>
      <c r="J215" s="4" t="n">
        <v>1063263.43</v>
      </c>
    </row>
    <row r="216" customFormat="false" ht="15" hidden="false" customHeight="false" outlineLevel="0" collapsed="false">
      <c r="A216" s="4" t="s">
        <v>59</v>
      </c>
      <c r="B216" s="4" t="s">
        <v>84</v>
      </c>
      <c r="C216" s="4" t="n">
        <v>0.953817</v>
      </c>
      <c r="D216" s="4" t="n">
        <v>0.95599886081193</v>
      </c>
      <c r="E216" s="4" t="n">
        <v>0.116692</v>
      </c>
      <c r="F216" s="4" t="n">
        <v>0.112353700059487</v>
      </c>
      <c r="G216" s="4" t="n">
        <v>-0.002182</v>
      </c>
      <c r="H216" s="4" t="n">
        <v>-0.00024514</v>
      </c>
      <c r="I216" s="4" t="n">
        <v>0.00011177</v>
      </c>
      <c r="J216" s="4" t="n">
        <v>940222.19</v>
      </c>
    </row>
    <row r="217" customFormat="false" ht="15" hidden="false" customHeight="false" outlineLevel="0" collapsed="false">
      <c r="A217" s="4" t="s">
        <v>59</v>
      </c>
      <c r="B217" s="4" t="s">
        <v>91</v>
      </c>
      <c r="C217" s="4" t="n">
        <v>0.897096</v>
      </c>
      <c r="D217" s="4" t="n">
        <v>0.900534066489698</v>
      </c>
      <c r="E217" s="4" t="n">
        <v>0.04447</v>
      </c>
      <c r="F217" s="4" t="n">
        <v>0.0460247577242442</v>
      </c>
      <c r="G217" s="4" t="n">
        <v>-0.003438</v>
      </c>
      <c r="H217" s="4" t="n">
        <v>-0.00015824</v>
      </c>
      <c r="I217" s="4" t="n">
        <v>4.618E-005</v>
      </c>
      <c r="J217" s="4" t="n">
        <v>648974.2</v>
      </c>
    </row>
    <row r="218" customFormat="false" ht="15" hidden="false" customHeight="false" outlineLevel="0" collapsed="false">
      <c r="A218" s="4" t="s">
        <v>59</v>
      </c>
      <c r="B218" s="4" t="s">
        <v>80</v>
      </c>
      <c r="C218" s="4" t="n">
        <v>0.945228</v>
      </c>
      <c r="D218" s="4" t="n">
        <v>0.946921293567527</v>
      </c>
      <c r="E218" s="4" t="n">
        <v>0.092097</v>
      </c>
      <c r="F218" s="4" t="n">
        <v>0.0925360304737304</v>
      </c>
      <c r="G218" s="4" t="n">
        <v>-0.001693</v>
      </c>
      <c r="H218" s="4" t="n">
        <v>-0.00015669</v>
      </c>
      <c r="I218" s="4" t="n">
        <v>-7.33E-006</v>
      </c>
      <c r="J218" s="4" t="n">
        <v>784149.06</v>
      </c>
    </row>
    <row r="219" customFormat="false" ht="15" hidden="false" customHeight="false" outlineLevel="0" collapsed="false">
      <c r="A219" s="4" t="s">
        <v>59</v>
      </c>
      <c r="B219" s="4" t="s">
        <v>81</v>
      </c>
      <c r="C219" s="4" t="n">
        <v>0.90808</v>
      </c>
      <c r="D219" s="4" t="n">
        <v>0.910609933085884</v>
      </c>
      <c r="E219" s="4" t="n">
        <v>0.058164</v>
      </c>
      <c r="F219" s="4" t="n">
        <v>0.0566226403294049</v>
      </c>
      <c r="G219" s="4" t="n">
        <v>-0.00253</v>
      </c>
      <c r="H219" s="4" t="n">
        <v>-0.00014325</v>
      </c>
      <c r="I219" s="4" t="n">
        <v>-3.025E-005</v>
      </c>
      <c r="J219" s="4" t="n">
        <v>819566.66</v>
      </c>
    </row>
    <row r="220" customFormat="false" ht="15" hidden="false" customHeight="false" outlineLevel="0" collapsed="false">
      <c r="A220" s="4" t="s">
        <v>59</v>
      </c>
      <c r="B220" s="4" t="s">
        <v>79</v>
      </c>
      <c r="C220" s="4" t="n">
        <v>0.933054</v>
      </c>
      <c r="D220" s="4" t="n">
        <v>0.928892804329359</v>
      </c>
      <c r="E220" s="4" t="n">
        <v>0.021657</v>
      </c>
      <c r="F220" s="4" t="n">
        <v>0.0231134634488316</v>
      </c>
      <c r="G220" s="4" t="n">
        <v>0.004161</v>
      </c>
      <c r="H220" s="4" t="n">
        <v>9.618E-005</v>
      </c>
      <c r="I220" s="4" t="n">
        <v>1.96E-006</v>
      </c>
      <c r="J220" s="4" t="n">
        <v>223064.38</v>
      </c>
    </row>
    <row r="221" customFormat="false" ht="15" hidden="false" customHeight="false" outlineLevel="0" collapsed="false">
      <c r="A221" s="4" t="s">
        <v>59</v>
      </c>
      <c r="B221" s="4" t="s">
        <v>83</v>
      </c>
      <c r="C221" s="4" t="n">
        <v>0.959556</v>
      </c>
      <c r="D221" s="4" t="n">
        <v>0.958958777157106</v>
      </c>
      <c r="E221" s="4" t="n">
        <v>0.153352</v>
      </c>
      <c r="F221" s="4" t="n">
        <v>0.148152188299495</v>
      </c>
      <c r="G221" s="4" t="n">
        <v>0.000597</v>
      </c>
      <c r="H221" s="4" t="n">
        <v>8.848E-005</v>
      </c>
      <c r="I221" s="4" t="n">
        <v>0.00014935</v>
      </c>
      <c r="J221" s="4" t="n">
        <v>986234.56</v>
      </c>
    </row>
    <row r="222" customFormat="false" ht="15" hidden="false" customHeight="false" outlineLevel="0" collapsed="false">
      <c r="A222" s="4" t="s">
        <v>59</v>
      </c>
      <c r="B222" s="4" t="s">
        <v>92</v>
      </c>
      <c r="C222" s="4" t="n">
        <v>0.937022</v>
      </c>
      <c r="D222" s="4" t="n">
        <v>0.938903293959474</v>
      </c>
      <c r="E222" s="4" t="n">
        <v>0.03781</v>
      </c>
      <c r="F222" s="4" t="n">
        <v>0.0378630863815063</v>
      </c>
      <c r="G222" s="4" t="n">
        <v>-0.001881</v>
      </c>
      <c r="H222" s="4" t="n">
        <v>-7.123E-005</v>
      </c>
      <c r="I222" s="4" t="n">
        <v>-4.6E-007</v>
      </c>
      <c r="J222" s="4" t="n">
        <v>353767.56</v>
      </c>
    </row>
    <row r="223" customFormat="false" ht="15" hidden="false" customHeight="false" outlineLevel="0" collapsed="false">
      <c r="A223" s="4" t="s">
        <v>59</v>
      </c>
      <c r="B223" s="4" t="s">
        <v>85</v>
      </c>
      <c r="C223" s="4" t="n">
        <v>0.945381</v>
      </c>
      <c r="D223" s="4" t="n">
        <v>0.947259891802722</v>
      </c>
      <c r="E223" s="4" t="n">
        <v>0.031062</v>
      </c>
      <c r="F223" s="4" t="n">
        <v>0.0299770341636814</v>
      </c>
      <c r="G223" s="4" t="n">
        <v>-0.001879</v>
      </c>
      <c r="H223" s="4" t="n">
        <v>-5.632E-005</v>
      </c>
      <c r="I223" s="4" t="n">
        <v>1.847E-005</v>
      </c>
      <c r="J223" s="4" t="n">
        <v>240992.48</v>
      </c>
    </row>
    <row r="224" customFormat="false" ht="15" hidden="false" customHeight="false" outlineLevel="0" collapsed="false">
      <c r="A224" s="4" t="s">
        <v>59</v>
      </c>
      <c r="B224" s="4" t="s">
        <v>88</v>
      </c>
      <c r="C224" s="4" t="n">
        <v>0.903985</v>
      </c>
      <c r="D224" s="4" t="n">
        <v>0.904690509854531</v>
      </c>
      <c r="E224" s="4" t="n">
        <v>0.076106</v>
      </c>
      <c r="F224" s="4" t="n">
        <v>0.076637388497883</v>
      </c>
      <c r="G224" s="4" t="n">
        <v>-0.000706</v>
      </c>
      <c r="H224" s="4" t="n">
        <v>-5.407E-005</v>
      </c>
      <c r="I224" s="4" t="n">
        <v>1.357E-005</v>
      </c>
      <c r="J224" s="4" t="n">
        <v>1084741.7</v>
      </c>
    </row>
    <row r="225" customFormat="false" ht="15" hidden="false" customHeight="false" outlineLevel="0" collapsed="false">
      <c r="A225" s="4" t="s">
        <v>59</v>
      </c>
      <c r="B225" s="4" t="s">
        <v>86</v>
      </c>
      <c r="C225" s="4" t="n">
        <v>0.952317</v>
      </c>
      <c r="D225" s="4" t="n">
        <v>0.952609806545809</v>
      </c>
      <c r="E225" s="4" t="n">
        <v>0.059704</v>
      </c>
      <c r="F225" s="4" t="n">
        <v>0.0597708070622492</v>
      </c>
      <c r="G225" s="4" t="n">
        <v>-0.000293</v>
      </c>
      <c r="H225" s="4" t="n">
        <v>-1.75E-005</v>
      </c>
      <c r="I225" s="4" t="n">
        <v>-1.49E-006</v>
      </c>
      <c r="J225" s="4" t="n">
        <v>415001.27</v>
      </c>
    </row>
    <row r="226" customFormat="false" ht="15" hidden="false" customHeight="false" outlineLevel="0" collapsed="false">
      <c r="A226" s="4" t="s">
        <v>59</v>
      </c>
      <c r="B226" s="4" t="s">
        <v>82</v>
      </c>
      <c r="C226" s="4" t="n">
        <v>0.906508</v>
      </c>
      <c r="D226" s="4" t="n">
        <v>0.906629914405919</v>
      </c>
      <c r="E226" s="4" t="n">
        <v>0.047224</v>
      </c>
      <c r="F226" s="4" t="n">
        <v>0.0501277738265098</v>
      </c>
      <c r="G226" s="4" t="n">
        <v>-0.000122</v>
      </c>
      <c r="H226" s="4" t="n">
        <v>-6.11E-006</v>
      </c>
      <c r="I226" s="4" t="n">
        <v>6.855E-005</v>
      </c>
      <c r="J226" s="4" t="n">
        <v>664885.11</v>
      </c>
    </row>
    <row r="227" customFormat="false" ht="15" hidden="false" customHeight="false" outlineLevel="0" collapsed="false">
      <c r="A227" s="4" t="s">
        <v>59</v>
      </c>
      <c r="B227" s="4" t="s">
        <v>87</v>
      </c>
      <c r="C227" s="4" t="n">
        <v>0.936366</v>
      </c>
      <c r="D227" s="4" t="n">
        <v>0.936150490730643</v>
      </c>
      <c r="E227" s="4" t="n">
        <v>0.027334</v>
      </c>
      <c r="F227" s="4" t="n">
        <v>0.026674695255424</v>
      </c>
      <c r="G227" s="4" t="n">
        <v>0.000216</v>
      </c>
      <c r="H227" s="4" t="n">
        <v>5.75E-006</v>
      </c>
      <c r="I227" s="4" t="n">
        <v>3.9E-006</v>
      </c>
      <c r="J227" s="4" t="n">
        <v>258582.61</v>
      </c>
    </row>
    <row r="228" customFormat="false" ht="15" hidden="false" customHeight="false" outlineLevel="0" collapsed="false">
      <c r="A228" s="4" t="s">
        <v>60</v>
      </c>
      <c r="B228" s="4" t="s">
        <v>90</v>
      </c>
      <c r="C228" s="4" t="n">
        <v>0.734981</v>
      </c>
      <c r="D228" s="4" t="n">
        <v>0.917809352910417</v>
      </c>
      <c r="E228" s="4" t="n">
        <v>0.188586</v>
      </c>
      <c r="F228" s="4" t="n">
        <v>0.19331227283239</v>
      </c>
      <c r="G228" s="4" t="n">
        <v>-0.182828</v>
      </c>
      <c r="H228" s="4" t="n">
        <v>-0.03534296</v>
      </c>
      <c r="I228" s="4" t="n">
        <v>5.873E-005</v>
      </c>
      <c r="J228" s="4" t="n">
        <v>6190076.44</v>
      </c>
    </row>
    <row r="229" customFormat="false" ht="15" hidden="false" customHeight="false" outlineLevel="0" collapsed="false">
      <c r="A229" s="4" t="s">
        <v>60</v>
      </c>
      <c r="B229" s="4" t="s">
        <v>89</v>
      </c>
      <c r="C229" s="4" t="n">
        <v>0.836285</v>
      </c>
      <c r="D229" s="4" t="n">
        <v>0.866725671961616</v>
      </c>
      <c r="E229" s="4" t="n">
        <v>0.04695</v>
      </c>
      <c r="F229" s="4" t="n">
        <v>0.0468341616451626</v>
      </c>
      <c r="G229" s="4" t="n">
        <v>-0.030441</v>
      </c>
      <c r="H229" s="4" t="n">
        <v>-0.00142566</v>
      </c>
      <c r="I229" s="4" t="n">
        <v>-7.36E-006</v>
      </c>
      <c r="J229" s="4" t="n">
        <v>911110.16</v>
      </c>
    </row>
    <row r="230" customFormat="false" ht="15" hidden="false" customHeight="false" outlineLevel="0" collapsed="false">
      <c r="A230" s="4" t="s">
        <v>60</v>
      </c>
      <c r="B230" s="4" t="s">
        <v>84</v>
      </c>
      <c r="C230" s="4" t="n">
        <v>0.953539</v>
      </c>
      <c r="D230" s="4" t="n">
        <v>0.95599886081193</v>
      </c>
      <c r="E230" s="4" t="n">
        <v>0.117255</v>
      </c>
      <c r="F230" s="4" t="n">
        <v>0.112353700059487</v>
      </c>
      <c r="G230" s="4" t="n">
        <v>-0.00246</v>
      </c>
      <c r="H230" s="4" t="n">
        <v>-0.00027637</v>
      </c>
      <c r="I230" s="4" t="n">
        <v>0.00012627</v>
      </c>
      <c r="J230" s="4" t="n">
        <v>759915.21</v>
      </c>
    </row>
    <row r="231" customFormat="false" ht="15" hidden="false" customHeight="false" outlineLevel="0" collapsed="false">
      <c r="A231" s="4" t="s">
        <v>60</v>
      </c>
      <c r="B231" s="4" t="s">
        <v>86</v>
      </c>
      <c r="C231" s="4" t="n">
        <v>0.949933</v>
      </c>
      <c r="D231" s="4" t="n">
        <v>0.952609806545809</v>
      </c>
      <c r="E231" s="4" t="n">
        <v>0.060377</v>
      </c>
      <c r="F231" s="4" t="n">
        <v>0.0597708070622492</v>
      </c>
      <c r="G231" s="4" t="n">
        <v>-0.002677</v>
      </c>
      <c r="H231" s="4" t="n">
        <v>-0.00015999</v>
      </c>
      <c r="I231" s="4" t="n">
        <v>1.356E-005</v>
      </c>
      <c r="J231" s="4" t="n">
        <v>408234.31</v>
      </c>
    </row>
    <row r="232" customFormat="false" ht="15" hidden="false" customHeight="false" outlineLevel="0" collapsed="false">
      <c r="A232" s="4" t="s">
        <v>60</v>
      </c>
      <c r="B232" s="4" t="s">
        <v>80</v>
      </c>
      <c r="C232" s="4" t="n">
        <v>0.945226</v>
      </c>
      <c r="D232" s="4" t="n">
        <v>0.946921293567527</v>
      </c>
      <c r="E232" s="4" t="n">
        <v>0.092455</v>
      </c>
      <c r="F232" s="4" t="n">
        <v>0.0925360304737304</v>
      </c>
      <c r="G232" s="4" t="n">
        <v>-0.001695</v>
      </c>
      <c r="H232" s="4" t="n">
        <v>-0.00015688</v>
      </c>
      <c r="I232" s="4" t="n">
        <v>-1.35E-006</v>
      </c>
      <c r="J232" s="4" t="n">
        <v>716480.79</v>
      </c>
    </row>
    <row r="233" customFormat="false" ht="15" hidden="false" customHeight="false" outlineLevel="0" collapsed="false">
      <c r="A233" s="4" t="s">
        <v>60</v>
      </c>
      <c r="B233" s="4" t="s">
        <v>88</v>
      </c>
      <c r="C233" s="4" t="n">
        <v>0.906344</v>
      </c>
      <c r="D233" s="4" t="n">
        <v>0.904690509854531</v>
      </c>
      <c r="E233" s="4" t="n">
        <v>0.075747</v>
      </c>
      <c r="F233" s="4" t="n">
        <v>0.076637388497883</v>
      </c>
      <c r="G233" s="4" t="n">
        <v>0.001653</v>
      </c>
      <c r="H233" s="4" t="n">
        <v>0.00012672</v>
      </c>
      <c r="I233" s="4" t="n">
        <v>2.275E-005</v>
      </c>
      <c r="J233" s="4" t="n">
        <v>1009940.28</v>
      </c>
    </row>
    <row r="234" customFormat="false" ht="15" hidden="false" customHeight="false" outlineLevel="0" collapsed="false">
      <c r="A234" s="4" t="s">
        <v>60</v>
      </c>
      <c r="B234" s="4" t="s">
        <v>81</v>
      </c>
      <c r="C234" s="4" t="n">
        <v>0.908809</v>
      </c>
      <c r="D234" s="4" t="n">
        <v>0.910609933085884</v>
      </c>
      <c r="E234" s="4" t="n">
        <v>0.057454</v>
      </c>
      <c r="F234" s="4" t="n">
        <v>0.0566226403294049</v>
      </c>
      <c r="G234" s="4" t="n">
        <v>-0.001801</v>
      </c>
      <c r="H234" s="4" t="n">
        <v>-0.00010197</v>
      </c>
      <c r="I234" s="4" t="n">
        <v>-1.632E-005</v>
      </c>
      <c r="J234" s="4" t="n">
        <v>666483.22</v>
      </c>
    </row>
    <row r="235" customFormat="false" ht="15" hidden="false" customHeight="false" outlineLevel="0" collapsed="false">
      <c r="A235" s="4" t="s">
        <v>60</v>
      </c>
      <c r="B235" s="4" t="s">
        <v>87</v>
      </c>
      <c r="C235" s="4" t="n">
        <v>0.939108</v>
      </c>
      <c r="D235" s="4" t="n">
        <v>0.936150490730643</v>
      </c>
      <c r="E235" s="4" t="n">
        <v>0.026488</v>
      </c>
      <c r="F235" s="4" t="n">
        <v>0.026674695255424</v>
      </c>
      <c r="G235" s="4" t="n">
        <v>0.002958</v>
      </c>
      <c r="H235" s="4" t="n">
        <v>7.889E-005</v>
      </c>
      <c r="I235" s="4" t="n">
        <v>-1.1E-006</v>
      </c>
      <c r="J235" s="4" t="n">
        <v>220213.16</v>
      </c>
    </row>
    <row r="236" customFormat="false" ht="15" hidden="false" customHeight="false" outlineLevel="0" collapsed="false">
      <c r="A236" s="4" t="s">
        <v>60</v>
      </c>
      <c r="B236" s="4" t="s">
        <v>92</v>
      </c>
      <c r="C236" s="4" t="n">
        <v>0.940714</v>
      </c>
      <c r="D236" s="4" t="n">
        <v>0.938903293959474</v>
      </c>
      <c r="E236" s="4" t="n">
        <v>0.037479</v>
      </c>
      <c r="F236" s="4" t="n">
        <v>0.0378630863815063</v>
      </c>
      <c r="G236" s="4" t="n">
        <v>0.001811</v>
      </c>
      <c r="H236" s="4" t="n">
        <v>6.856E-005</v>
      </c>
      <c r="I236" s="4" t="n">
        <v>-3.33E-006</v>
      </c>
      <c r="J236" s="4" t="n">
        <v>290830.05</v>
      </c>
    </row>
    <row r="237" customFormat="false" ht="15" hidden="false" customHeight="false" outlineLevel="0" collapsed="false">
      <c r="A237" s="4" t="s">
        <v>60</v>
      </c>
      <c r="B237" s="4" t="s">
        <v>91</v>
      </c>
      <c r="C237" s="4" t="n">
        <v>0.90196</v>
      </c>
      <c r="D237" s="4" t="n">
        <v>0.900534066489698</v>
      </c>
      <c r="E237" s="4" t="n">
        <v>0.044562</v>
      </c>
      <c r="F237" s="4" t="n">
        <v>0.0460247577242442</v>
      </c>
      <c r="G237" s="4" t="n">
        <v>0.001426</v>
      </c>
      <c r="H237" s="4" t="n">
        <v>6.563E-005</v>
      </c>
      <c r="I237" s="4" t="n">
        <v>4.345E-005</v>
      </c>
      <c r="J237" s="4" t="n">
        <v>535357.13</v>
      </c>
    </row>
    <row r="238" customFormat="false" ht="15" hidden="false" customHeight="false" outlineLevel="0" collapsed="false">
      <c r="A238" s="4" t="s">
        <v>60</v>
      </c>
      <c r="B238" s="4" t="s">
        <v>83</v>
      </c>
      <c r="C238" s="4" t="n">
        <v>0.958682</v>
      </c>
      <c r="D238" s="4" t="n">
        <v>0.958958777157106</v>
      </c>
      <c r="E238" s="4" t="n">
        <v>0.153121</v>
      </c>
      <c r="F238" s="4" t="n">
        <v>0.148152188299495</v>
      </c>
      <c r="G238" s="4" t="n">
        <v>-0.000277</v>
      </c>
      <c r="H238" s="4" t="n">
        <v>-4.101E-005</v>
      </c>
      <c r="I238" s="4" t="n">
        <v>0.00014272</v>
      </c>
      <c r="J238" s="4" t="n">
        <v>872147.53</v>
      </c>
    </row>
    <row r="239" customFormat="false" ht="15" hidden="false" customHeight="false" outlineLevel="0" collapsed="false">
      <c r="A239" s="4" t="s">
        <v>60</v>
      </c>
      <c r="B239" s="4" t="s">
        <v>85</v>
      </c>
      <c r="C239" s="4" t="n">
        <v>0.946192</v>
      </c>
      <c r="D239" s="4" t="n">
        <v>0.947259891802722</v>
      </c>
      <c r="E239" s="4" t="n">
        <v>0.030493</v>
      </c>
      <c r="F239" s="4" t="n">
        <v>0.0299770341636814</v>
      </c>
      <c r="G239" s="4" t="n">
        <v>-0.001068</v>
      </c>
      <c r="H239" s="4" t="n">
        <v>-3.201E-005</v>
      </c>
      <c r="I239" s="4" t="n">
        <v>8.78E-006</v>
      </c>
      <c r="J239" s="4" t="n">
        <v>241715.77</v>
      </c>
    </row>
    <row r="240" customFormat="false" ht="15" hidden="false" customHeight="false" outlineLevel="0" collapsed="false">
      <c r="A240" s="4" t="s">
        <v>60</v>
      </c>
      <c r="B240" s="4" t="s">
        <v>79</v>
      </c>
      <c r="C240" s="4" t="n">
        <v>0.927801</v>
      </c>
      <c r="D240" s="4" t="n">
        <v>0.928892804329359</v>
      </c>
      <c r="E240" s="4" t="n">
        <v>0.021917</v>
      </c>
      <c r="F240" s="4" t="n">
        <v>0.0231134634488316</v>
      </c>
      <c r="G240" s="4" t="n">
        <v>-0.001092</v>
      </c>
      <c r="H240" s="4" t="n">
        <v>-2.524E-005</v>
      </c>
      <c r="I240" s="4" t="n">
        <v>1.61E-006</v>
      </c>
      <c r="J240" s="4" t="n">
        <v>211986.19</v>
      </c>
    </row>
    <row r="241" customFormat="false" ht="15" hidden="false" customHeight="false" outlineLevel="0" collapsed="false">
      <c r="A241" s="4" t="s">
        <v>60</v>
      </c>
      <c r="B241" s="4" t="s">
        <v>82</v>
      </c>
      <c r="C241" s="4" t="n">
        <v>0.906569</v>
      </c>
      <c r="D241" s="4" t="n">
        <v>0.906629914405919</v>
      </c>
      <c r="E241" s="4" t="n">
        <v>0.047117</v>
      </c>
      <c r="F241" s="4" t="n">
        <v>0.0501277738265098</v>
      </c>
      <c r="G241" s="4" t="n">
        <v>-6.1E-005</v>
      </c>
      <c r="H241" s="4" t="n">
        <v>-3.05E-006</v>
      </c>
      <c r="I241" s="4" t="n">
        <v>7.107E-005</v>
      </c>
      <c r="J241" s="4" t="n">
        <v>661247.45</v>
      </c>
    </row>
    <row r="242" customFormat="false" ht="15" hidden="false" customHeight="false" outlineLevel="0" collapsed="false">
      <c r="A242" s="4" t="s">
        <v>61</v>
      </c>
      <c r="B242" s="4" t="s">
        <v>90</v>
      </c>
      <c r="C242" s="4" t="n">
        <v>0.736413</v>
      </c>
      <c r="D242" s="4" t="n">
        <v>0.917809352910417</v>
      </c>
      <c r="E242" s="4" t="n">
        <v>0.188941</v>
      </c>
      <c r="F242" s="4" t="n">
        <v>0.19331227283239</v>
      </c>
      <c r="G242" s="4" t="n">
        <v>-0.181396</v>
      </c>
      <c r="H242" s="4" t="n">
        <v>-0.03506614</v>
      </c>
      <c r="I242" s="4" t="n">
        <v>5.432E-005</v>
      </c>
      <c r="J242" s="4" t="n">
        <v>5865401.78</v>
      </c>
    </row>
    <row r="243" customFormat="false" ht="15" hidden="false" customHeight="false" outlineLevel="0" collapsed="false">
      <c r="A243" s="4" t="s">
        <v>61</v>
      </c>
      <c r="B243" s="4" t="s">
        <v>89</v>
      </c>
      <c r="C243" s="4" t="n">
        <v>0.832599</v>
      </c>
      <c r="D243" s="4" t="n">
        <v>0.866725671961616</v>
      </c>
      <c r="E243" s="4" t="n">
        <v>0.045451</v>
      </c>
      <c r="F243" s="4" t="n">
        <v>0.0468341616451626</v>
      </c>
      <c r="G243" s="4" t="n">
        <v>-0.034127</v>
      </c>
      <c r="H243" s="4" t="n">
        <v>-0.00159829</v>
      </c>
      <c r="I243" s="4" t="n">
        <v>8.785E-005</v>
      </c>
      <c r="J243" s="4" t="n">
        <v>897548.07</v>
      </c>
    </row>
    <row r="244" customFormat="false" ht="15" hidden="false" customHeight="false" outlineLevel="0" collapsed="false">
      <c r="A244" s="4" t="s">
        <v>61</v>
      </c>
      <c r="B244" s="4" t="s">
        <v>82</v>
      </c>
      <c r="C244" s="4" t="n">
        <v>0.912439</v>
      </c>
      <c r="D244" s="4" t="n">
        <v>0.906629914405919</v>
      </c>
      <c r="E244" s="4" t="n">
        <v>0.047474</v>
      </c>
      <c r="F244" s="4" t="n">
        <v>0.0501277738265098</v>
      </c>
      <c r="G244" s="4" t="n">
        <v>0.005809</v>
      </c>
      <c r="H244" s="4" t="n">
        <v>0.0002912</v>
      </c>
      <c r="I244" s="4" t="n">
        <v>6.265E-005</v>
      </c>
      <c r="J244" s="4" t="n">
        <v>630061.96</v>
      </c>
    </row>
    <row r="245" customFormat="false" ht="15" hidden="false" customHeight="false" outlineLevel="0" collapsed="false">
      <c r="A245" s="4" t="s">
        <v>61</v>
      </c>
      <c r="B245" s="4" t="s">
        <v>92</v>
      </c>
      <c r="C245" s="4" t="n">
        <v>0.942317</v>
      </c>
      <c r="D245" s="4" t="n">
        <v>0.938903293959474</v>
      </c>
      <c r="E245" s="4" t="n">
        <v>0.037612</v>
      </c>
      <c r="F245" s="4" t="n">
        <v>0.0378630863815063</v>
      </c>
      <c r="G245" s="4" t="n">
        <v>0.003414</v>
      </c>
      <c r="H245" s="4" t="n">
        <v>0.00012925</v>
      </c>
      <c r="I245" s="4" t="n">
        <v>-2.18E-006</v>
      </c>
      <c r="J245" s="4" t="n">
        <v>278918.87</v>
      </c>
    </row>
    <row r="246" customFormat="false" ht="15" hidden="false" customHeight="false" outlineLevel="0" collapsed="false">
      <c r="A246" s="4" t="s">
        <v>61</v>
      </c>
      <c r="B246" s="4" t="s">
        <v>88</v>
      </c>
      <c r="C246" s="4" t="n">
        <v>0.906141</v>
      </c>
      <c r="D246" s="4" t="n">
        <v>0.904690509854531</v>
      </c>
      <c r="E246" s="4" t="n">
        <v>0.076447</v>
      </c>
      <c r="F246" s="4" t="n">
        <v>0.076637388497883</v>
      </c>
      <c r="G246" s="4" t="n">
        <v>0.00145</v>
      </c>
      <c r="H246" s="4" t="n">
        <v>0.00011116</v>
      </c>
      <c r="I246" s="4" t="n">
        <v>4.86E-006</v>
      </c>
      <c r="J246" s="4" t="n">
        <v>896601.4</v>
      </c>
    </row>
    <row r="247" customFormat="false" ht="15" hidden="false" customHeight="false" outlineLevel="0" collapsed="false">
      <c r="A247" s="4" t="s">
        <v>61</v>
      </c>
      <c r="B247" s="4" t="s">
        <v>87</v>
      </c>
      <c r="C247" s="4" t="n">
        <v>0.932301</v>
      </c>
      <c r="D247" s="4" t="n">
        <v>0.936150490730643</v>
      </c>
      <c r="E247" s="4" t="n">
        <v>0.027015</v>
      </c>
      <c r="F247" s="4" t="n">
        <v>0.026674695255424</v>
      </c>
      <c r="G247" s="4" t="n">
        <v>-0.003849</v>
      </c>
      <c r="H247" s="4" t="n">
        <v>-0.00010268</v>
      </c>
      <c r="I247" s="4" t="n">
        <v>2.01E-006</v>
      </c>
      <c r="J247" s="4" t="n">
        <v>223287.59</v>
      </c>
    </row>
    <row r="248" customFormat="false" ht="15" hidden="false" customHeight="false" outlineLevel="0" collapsed="false">
      <c r="A248" s="4" t="s">
        <v>61</v>
      </c>
      <c r="B248" s="4" t="s">
        <v>79</v>
      </c>
      <c r="C248" s="4" t="n">
        <v>0.93237</v>
      </c>
      <c r="D248" s="4" t="n">
        <v>0.928892804329359</v>
      </c>
      <c r="E248" s="4" t="n">
        <v>0.021917</v>
      </c>
      <c r="F248" s="4" t="n">
        <v>0.0231134634488316</v>
      </c>
      <c r="G248" s="4" t="n">
        <v>0.003477</v>
      </c>
      <c r="H248" s="4" t="n">
        <v>8.037E-005</v>
      </c>
      <c r="I248" s="4" t="n">
        <v>1.61E-006</v>
      </c>
      <c r="J248" s="4" t="n">
        <v>210498.46</v>
      </c>
    </row>
    <row r="249" customFormat="false" ht="15" hidden="false" customHeight="false" outlineLevel="0" collapsed="false">
      <c r="A249" s="4" t="s">
        <v>61</v>
      </c>
      <c r="B249" s="4" t="s">
        <v>81</v>
      </c>
      <c r="C249" s="4" t="n">
        <v>0.90943</v>
      </c>
      <c r="D249" s="4" t="n">
        <v>0.910609933085884</v>
      </c>
      <c r="E249" s="4" t="n">
        <v>0.057743</v>
      </c>
      <c r="F249" s="4" t="n">
        <v>0.0566226403294049</v>
      </c>
      <c r="G249" s="4" t="n">
        <v>-0.00118</v>
      </c>
      <c r="H249" s="4" t="n">
        <v>-6.681E-005</v>
      </c>
      <c r="I249" s="4" t="n">
        <v>-2.199E-005</v>
      </c>
      <c r="J249" s="4" t="n">
        <v>676969.54</v>
      </c>
    </row>
    <row r="250" customFormat="false" ht="15" hidden="false" customHeight="false" outlineLevel="0" collapsed="false">
      <c r="A250" s="4" t="s">
        <v>61</v>
      </c>
      <c r="B250" s="4" t="s">
        <v>84</v>
      </c>
      <c r="C250" s="4" t="n">
        <v>0.955406</v>
      </c>
      <c r="D250" s="4" t="n">
        <v>0.95599886081193</v>
      </c>
      <c r="E250" s="4" t="n">
        <v>0.116537</v>
      </c>
      <c r="F250" s="4" t="n">
        <v>0.112353700059487</v>
      </c>
      <c r="G250" s="4" t="n">
        <v>-0.000593</v>
      </c>
      <c r="H250" s="4" t="n">
        <v>-6.661E-005</v>
      </c>
      <c r="I250" s="4" t="n">
        <v>0.00010777</v>
      </c>
      <c r="J250" s="4" t="n">
        <v>691664.95</v>
      </c>
    </row>
    <row r="251" customFormat="false" ht="15" hidden="false" customHeight="false" outlineLevel="0" collapsed="false">
      <c r="A251" s="4" t="s">
        <v>61</v>
      </c>
      <c r="B251" s="4" t="s">
        <v>86</v>
      </c>
      <c r="C251" s="4" t="n">
        <v>0.951612</v>
      </c>
      <c r="D251" s="4" t="n">
        <v>0.952609806545809</v>
      </c>
      <c r="E251" s="4" t="n">
        <v>0.060154</v>
      </c>
      <c r="F251" s="4" t="n">
        <v>0.0597708070622492</v>
      </c>
      <c r="G251" s="4" t="n">
        <v>-0.000998</v>
      </c>
      <c r="H251" s="4" t="n">
        <v>-5.964E-005</v>
      </c>
      <c r="I251" s="4" t="n">
        <v>8.57E-006</v>
      </c>
      <c r="J251" s="4" t="n">
        <v>371363.39</v>
      </c>
    </row>
    <row r="252" customFormat="false" ht="15" hidden="false" customHeight="false" outlineLevel="0" collapsed="false">
      <c r="A252" s="4" t="s">
        <v>61</v>
      </c>
      <c r="B252" s="4" t="s">
        <v>83</v>
      </c>
      <c r="C252" s="4" t="n">
        <v>0.958565</v>
      </c>
      <c r="D252" s="4" t="n">
        <v>0.958958777157106</v>
      </c>
      <c r="E252" s="4" t="n">
        <v>0.152829</v>
      </c>
      <c r="F252" s="4" t="n">
        <v>0.148152188299495</v>
      </c>
      <c r="G252" s="4" t="n">
        <v>-0.000394</v>
      </c>
      <c r="H252" s="4" t="n">
        <v>-5.834E-005</v>
      </c>
      <c r="I252" s="4" t="n">
        <v>0.00013433</v>
      </c>
      <c r="J252" s="4" t="n">
        <v>887377.52</v>
      </c>
    </row>
    <row r="253" customFormat="false" ht="15" hidden="false" customHeight="false" outlineLevel="0" collapsed="false">
      <c r="A253" s="4" t="s">
        <v>61</v>
      </c>
      <c r="B253" s="4" t="s">
        <v>80</v>
      </c>
      <c r="C253" s="4" t="n">
        <v>0.946473</v>
      </c>
      <c r="D253" s="4" t="n">
        <v>0.946921293567527</v>
      </c>
      <c r="E253" s="4" t="n">
        <v>0.092734</v>
      </c>
      <c r="F253" s="4" t="n">
        <v>0.0925360304737304</v>
      </c>
      <c r="G253" s="4" t="n">
        <v>-0.000448</v>
      </c>
      <c r="H253" s="4" t="n">
        <v>-4.148E-005</v>
      </c>
      <c r="I253" s="4" t="n">
        <v>3.3E-006</v>
      </c>
      <c r="J253" s="4" t="n">
        <v>721130.55</v>
      </c>
    </row>
    <row r="254" customFormat="false" ht="15" hidden="false" customHeight="false" outlineLevel="0" collapsed="false">
      <c r="A254" s="4" t="s">
        <v>61</v>
      </c>
      <c r="B254" s="4" t="s">
        <v>85</v>
      </c>
      <c r="C254" s="4" t="n">
        <v>0.946222</v>
      </c>
      <c r="D254" s="4" t="n">
        <v>0.947259891802722</v>
      </c>
      <c r="E254" s="4" t="n">
        <v>0.031008</v>
      </c>
      <c r="F254" s="4" t="n">
        <v>0.0299770341636814</v>
      </c>
      <c r="G254" s="4" t="n">
        <v>-0.001038</v>
      </c>
      <c r="H254" s="4" t="n">
        <v>-3.111E-005</v>
      </c>
      <c r="I254" s="4" t="n">
        <v>1.755E-005</v>
      </c>
      <c r="J254" s="4" t="n">
        <v>208506.37</v>
      </c>
    </row>
    <row r="255" customFormat="false" ht="15" hidden="false" customHeight="false" outlineLevel="0" collapsed="false">
      <c r="A255" s="4" t="s">
        <v>61</v>
      </c>
      <c r="B255" s="4" t="s">
        <v>91</v>
      </c>
      <c r="C255" s="4" t="n">
        <v>0.900738</v>
      </c>
      <c r="D255" s="4" t="n">
        <v>0.900534066489698</v>
      </c>
      <c r="E255" s="4" t="n">
        <v>0.044136</v>
      </c>
      <c r="F255" s="4" t="n">
        <v>0.0460247577242442</v>
      </c>
      <c r="G255" s="4" t="n">
        <v>0.000204</v>
      </c>
      <c r="H255" s="4" t="n">
        <v>9.39E-006</v>
      </c>
      <c r="I255" s="4" t="n">
        <v>5.61E-005</v>
      </c>
      <c r="J255" s="4" t="n">
        <v>536468.91</v>
      </c>
    </row>
    <row r="256" customFormat="false" ht="15" hidden="false" customHeight="false" outlineLevel="0" collapsed="false">
      <c r="A256" s="4" t="s">
        <v>62</v>
      </c>
      <c r="B256" s="4" t="s">
        <v>90</v>
      </c>
      <c r="C256" s="4" t="n">
        <v>0.824631</v>
      </c>
      <c r="D256" s="4" t="n">
        <v>0.917809352910417</v>
      </c>
      <c r="E256" s="4" t="n">
        <v>0.186628</v>
      </c>
      <c r="F256" s="4" t="n">
        <v>0.19331227283239</v>
      </c>
      <c r="G256" s="4" t="n">
        <v>-0.093178</v>
      </c>
      <c r="H256" s="4" t="n">
        <v>-0.01801252</v>
      </c>
      <c r="I256" s="4" t="n">
        <v>8.307E-005</v>
      </c>
      <c r="J256" s="4" t="n">
        <v>3811231.18</v>
      </c>
    </row>
    <row r="257" customFormat="false" ht="15" hidden="false" customHeight="false" outlineLevel="0" collapsed="false">
      <c r="A257" s="4" t="s">
        <v>62</v>
      </c>
      <c r="B257" s="4" t="s">
        <v>89</v>
      </c>
      <c r="C257" s="4" t="n">
        <v>0.831086</v>
      </c>
      <c r="D257" s="4" t="n">
        <v>0.866725671961616</v>
      </c>
      <c r="E257" s="4" t="n">
        <v>0.045457</v>
      </c>
      <c r="F257" s="4" t="n">
        <v>0.0468341616451626</v>
      </c>
      <c r="G257" s="4" t="n">
        <v>-0.03564</v>
      </c>
      <c r="H257" s="4" t="n">
        <v>-0.00166915</v>
      </c>
      <c r="I257" s="4" t="n">
        <v>8.746E-005</v>
      </c>
      <c r="J257" s="4" t="n">
        <v>880163.43</v>
      </c>
    </row>
    <row r="258" customFormat="false" ht="15" hidden="false" customHeight="false" outlineLevel="0" collapsed="false">
      <c r="A258" s="4" t="s">
        <v>62</v>
      </c>
      <c r="B258" s="4" t="s">
        <v>82</v>
      </c>
      <c r="C258" s="4" t="n">
        <v>0.912567</v>
      </c>
      <c r="D258" s="4" t="n">
        <v>0.906629914405919</v>
      </c>
      <c r="E258" s="4" t="n">
        <v>0.047929</v>
      </c>
      <c r="F258" s="4" t="n">
        <v>0.0501277738265098</v>
      </c>
      <c r="G258" s="4" t="n">
        <v>0.005937</v>
      </c>
      <c r="H258" s="4" t="n">
        <v>0.00029761</v>
      </c>
      <c r="I258" s="4" t="n">
        <v>5.191E-005</v>
      </c>
      <c r="J258" s="4" t="n">
        <v>534373.99</v>
      </c>
    </row>
    <row r="259" customFormat="false" ht="15" hidden="false" customHeight="false" outlineLevel="0" collapsed="false">
      <c r="A259" s="4" t="s">
        <v>62</v>
      </c>
      <c r="B259" s="4" t="s">
        <v>84</v>
      </c>
      <c r="C259" s="4" t="n">
        <v>0.954184</v>
      </c>
      <c r="D259" s="4" t="n">
        <v>0.95599886081193</v>
      </c>
      <c r="E259" s="4" t="n">
        <v>0.116514</v>
      </c>
      <c r="F259" s="4" t="n">
        <v>0.112353700059487</v>
      </c>
      <c r="G259" s="4" t="n">
        <v>-0.001815</v>
      </c>
      <c r="H259" s="4" t="n">
        <v>-0.00020391</v>
      </c>
      <c r="I259" s="4" t="n">
        <v>0.00010718</v>
      </c>
      <c r="J259" s="4" t="n">
        <v>728994.42</v>
      </c>
    </row>
    <row r="260" customFormat="false" ht="15" hidden="false" customHeight="false" outlineLevel="0" collapsed="false">
      <c r="A260" s="4" t="s">
        <v>62</v>
      </c>
      <c r="B260" s="4" t="s">
        <v>85</v>
      </c>
      <c r="C260" s="4" t="n">
        <v>0.941951</v>
      </c>
      <c r="D260" s="4" t="n">
        <v>0.947259891802722</v>
      </c>
      <c r="E260" s="4" t="n">
        <v>0.031257</v>
      </c>
      <c r="F260" s="4" t="n">
        <v>0.0299770341636814</v>
      </c>
      <c r="G260" s="4" t="n">
        <v>-0.005309</v>
      </c>
      <c r="H260" s="4" t="n">
        <v>-0.00015914</v>
      </c>
      <c r="I260" s="4" t="n">
        <v>2.179E-005</v>
      </c>
      <c r="J260" s="4" t="n">
        <v>248975.15</v>
      </c>
    </row>
    <row r="261" customFormat="false" ht="15" hidden="false" customHeight="false" outlineLevel="0" collapsed="false">
      <c r="A261" s="4" t="s">
        <v>62</v>
      </c>
      <c r="B261" s="4" t="s">
        <v>80</v>
      </c>
      <c r="C261" s="4" t="n">
        <v>0.945773</v>
      </c>
      <c r="D261" s="4" t="n">
        <v>0.946921293567527</v>
      </c>
      <c r="E261" s="4" t="n">
        <v>0.091794</v>
      </c>
      <c r="F261" s="4" t="n">
        <v>0.0925360304737304</v>
      </c>
      <c r="G261" s="4" t="n">
        <v>-0.001148</v>
      </c>
      <c r="H261" s="4" t="n">
        <v>-0.00010626</v>
      </c>
      <c r="I261" s="4" t="n">
        <v>-1.238E-005</v>
      </c>
      <c r="J261" s="4" t="n">
        <v>627258.8</v>
      </c>
    </row>
    <row r="262" customFormat="false" ht="15" hidden="false" customHeight="false" outlineLevel="0" collapsed="false">
      <c r="A262" s="4" t="s">
        <v>62</v>
      </c>
      <c r="B262" s="4" t="s">
        <v>83</v>
      </c>
      <c r="C262" s="4" t="n">
        <v>0.958256</v>
      </c>
      <c r="D262" s="4" t="n">
        <v>0.958958777157106</v>
      </c>
      <c r="E262" s="4" t="n">
        <v>0.153857</v>
      </c>
      <c r="F262" s="4" t="n">
        <v>0.148152188299495</v>
      </c>
      <c r="G262" s="4" t="n">
        <v>-0.000703</v>
      </c>
      <c r="H262" s="4" t="n">
        <v>-0.00010412</v>
      </c>
      <c r="I262" s="4" t="n">
        <v>0.00016386</v>
      </c>
      <c r="J262" s="4" t="n">
        <v>799500.13</v>
      </c>
    </row>
    <row r="263" customFormat="false" ht="15" hidden="false" customHeight="false" outlineLevel="0" collapsed="false">
      <c r="A263" s="4" t="s">
        <v>62</v>
      </c>
      <c r="B263" s="4" t="s">
        <v>88</v>
      </c>
      <c r="C263" s="4" t="n">
        <v>0.905933</v>
      </c>
      <c r="D263" s="4" t="n">
        <v>0.904690509854531</v>
      </c>
      <c r="E263" s="4" t="n">
        <v>0.07575</v>
      </c>
      <c r="F263" s="4" t="n">
        <v>0.076637388497883</v>
      </c>
      <c r="G263" s="4" t="n">
        <v>0.001242</v>
      </c>
      <c r="H263" s="4" t="n">
        <v>9.522E-005</v>
      </c>
      <c r="I263" s="4" t="n">
        <v>2.267E-005</v>
      </c>
      <c r="J263" s="4" t="n">
        <v>893461.41</v>
      </c>
    </row>
    <row r="264" customFormat="false" ht="15" hidden="false" customHeight="false" outlineLevel="0" collapsed="false">
      <c r="A264" s="4" t="s">
        <v>62</v>
      </c>
      <c r="B264" s="4" t="s">
        <v>87</v>
      </c>
      <c r="C264" s="4" t="n">
        <v>0.932703</v>
      </c>
      <c r="D264" s="4" t="n">
        <v>0.936150490730643</v>
      </c>
      <c r="E264" s="4" t="n">
        <v>0.027006</v>
      </c>
      <c r="F264" s="4" t="n">
        <v>0.026674695255424</v>
      </c>
      <c r="G264" s="4" t="n">
        <v>-0.003447</v>
      </c>
      <c r="H264" s="4" t="n">
        <v>-9.196E-005</v>
      </c>
      <c r="I264" s="4" t="n">
        <v>1.96E-006</v>
      </c>
      <c r="J264" s="4" t="n">
        <v>220702.33</v>
      </c>
    </row>
    <row r="265" customFormat="false" ht="15" hidden="false" customHeight="false" outlineLevel="0" collapsed="false">
      <c r="A265" s="4" t="s">
        <v>62</v>
      </c>
      <c r="B265" s="4" t="s">
        <v>81</v>
      </c>
      <c r="C265" s="4" t="n">
        <v>0.909325</v>
      </c>
      <c r="D265" s="4" t="n">
        <v>0.910609933085884</v>
      </c>
      <c r="E265" s="4" t="n">
        <v>0.057083</v>
      </c>
      <c r="F265" s="4" t="n">
        <v>0.0566226403294049</v>
      </c>
      <c r="G265" s="4" t="n">
        <v>-0.001285</v>
      </c>
      <c r="H265" s="4" t="n">
        <v>-7.276E-005</v>
      </c>
      <c r="I265" s="4" t="n">
        <v>-9.04E-006</v>
      </c>
      <c r="J265" s="4" t="n">
        <v>667483.19</v>
      </c>
    </row>
    <row r="266" customFormat="false" ht="15" hidden="false" customHeight="false" outlineLevel="0" collapsed="false">
      <c r="A266" s="4" t="s">
        <v>62</v>
      </c>
      <c r="B266" s="4" t="s">
        <v>91</v>
      </c>
      <c r="C266" s="4" t="n">
        <v>0.901777</v>
      </c>
      <c r="D266" s="4" t="n">
        <v>0.900534066489698</v>
      </c>
      <c r="E266" s="4" t="n">
        <v>0.044805</v>
      </c>
      <c r="F266" s="4" t="n">
        <v>0.0460247577242442</v>
      </c>
      <c r="G266" s="4" t="n">
        <v>0.001243</v>
      </c>
      <c r="H266" s="4" t="n">
        <v>5.721E-005</v>
      </c>
      <c r="I266" s="4" t="n">
        <v>3.623E-005</v>
      </c>
      <c r="J266" s="4" t="n">
        <v>504619.7</v>
      </c>
    </row>
    <row r="267" customFormat="false" ht="15" hidden="false" customHeight="false" outlineLevel="0" collapsed="false">
      <c r="A267" s="4" t="s">
        <v>62</v>
      </c>
      <c r="B267" s="4" t="s">
        <v>79</v>
      </c>
      <c r="C267" s="4" t="n">
        <v>0.931034</v>
      </c>
      <c r="D267" s="4" t="n">
        <v>0.928892804329359</v>
      </c>
      <c r="E267" s="4" t="n">
        <v>0.022476</v>
      </c>
      <c r="F267" s="4" t="n">
        <v>0.0231134634488316</v>
      </c>
      <c r="G267" s="4" t="n">
        <v>0.002141</v>
      </c>
      <c r="H267" s="4" t="n">
        <v>4.949E-005</v>
      </c>
      <c r="I267" s="4" t="n">
        <v>8.6E-007</v>
      </c>
      <c r="J267" s="4" t="n">
        <v>200437.49</v>
      </c>
    </row>
    <row r="268" customFormat="false" ht="15" hidden="false" customHeight="false" outlineLevel="0" collapsed="false">
      <c r="A268" s="4" t="s">
        <v>62</v>
      </c>
      <c r="B268" s="4" t="s">
        <v>86</v>
      </c>
      <c r="C268" s="4" t="n">
        <v>0.952004</v>
      </c>
      <c r="D268" s="4" t="n">
        <v>0.952609806545809</v>
      </c>
      <c r="E268" s="4" t="n">
        <v>0.062213</v>
      </c>
      <c r="F268" s="4" t="n">
        <v>0.0597708070622492</v>
      </c>
      <c r="G268" s="4" t="n">
        <v>-0.000606</v>
      </c>
      <c r="H268" s="4" t="n">
        <v>-3.621E-005</v>
      </c>
      <c r="I268" s="4" t="n">
        <v>5.464E-005</v>
      </c>
      <c r="J268" s="4" t="n">
        <v>358669.69</v>
      </c>
    </row>
    <row r="269" customFormat="false" ht="15" hidden="false" customHeight="false" outlineLevel="0" collapsed="false">
      <c r="A269" s="4" t="s">
        <v>62</v>
      </c>
      <c r="B269" s="4" t="s">
        <v>92</v>
      </c>
      <c r="C269" s="4" t="n">
        <v>0.937949</v>
      </c>
      <c r="D269" s="4" t="n">
        <v>0.938903293959474</v>
      </c>
      <c r="E269" s="4" t="n">
        <v>0.037229</v>
      </c>
      <c r="F269" s="4" t="n">
        <v>0.0378630863815063</v>
      </c>
      <c r="G269" s="4" t="n">
        <v>-0.000954</v>
      </c>
      <c r="H269" s="4" t="n">
        <v>-3.613E-005</v>
      </c>
      <c r="I269" s="4" t="n">
        <v>-5.5E-006</v>
      </c>
      <c r="J269" s="4" t="n">
        <v>279326.64</v>
      </c>
    </row>
    <row r="270" customFormat="false" ht="15" hidden="false" customHeight="false" outlineLevel="0" collapsed="false">
      <c r="A270" s="4" t="s">
        <v>63</v>
      </c>
      <c r="B270" s="4" t="s">
        <v>89</v>
      </c>
      <c r="C270" s="4" t="n">
        <v>0.822093</v>
      </c>
      <c r="D270" s="4" t="n">
        <v>0.866725671961616</v>
      </c>
      <c r="E270" s="4" t="n">
        <v>0.045225</v>
      </c>
      <c r="F270" s="4" t="n">
        <v>0.0468341616451626</v>
      </c>
      <c r="G270" s="4" t="n">
        <v>-0.044633</v>
      </c>
      <c r="H270" s="4" t="n">
        <v>-0.00209033</v>
      </c>
      <c r="I270" s="4" t="n">
        <v>0.0001022</v>
      </c>
      <c r="J270" s="4" t="n">
        <v>1092500.9</v>
      </c>
    </row>
    <row r="271" customFormat="false" ht="15" hidden="false" customHeight="false" outlineLevel="0" collapsed="false">
      <c r="A271" s="4" t="s">
        <v>63</v>
      </c>
      <c r="B271" s="4" t="s">
        <v>88</v>
      </c>
      <c r="C271" s="4" t="n">
        <v>0.902266</v>
      </c>
      <c r="D271" s="4" t="n">
        <v>0.904690509854531</v>
      </c>
      <c r="E271" s="4" t="n">
        <v>0.074988</v>
      </c>
      <c r="F271" s="4" t="n">
        <v>0.076637388497883</v>
      </c>
      <c r="G271" s="4" t="n">
        <v>-0.002425</v>
      </c>
      <c r="H271" s="4" t="n">
        <v>-0.00018581</v>
      </c>
      <c r="I271" s="4" t="n">
        <v>4.214E-005</v>
      </c>
      <c r="J271" s="4" t="n">
        <v>1139934.38</v>
      </c>
    </row>
    <row r="272" customFormat="false" ht="15" hidden="false" customHeight="false" outlineLevel="0" collapsed="false">
      <c r="A272" s="4" t="s">
        <v>63</v>
      </c>
      <c r="B272" s="4" t="s">
        <v>82</v>
      </c>
      <c r="C272" s="4" t="n">
        <v>0.90985</v>
      </c>
      <c r="D272" s="4" t="n">
        <v>0.906629914405919</v>
      </c>
      <c r="E272" s="4" t="n">
        <v>0.047291</v>
      </c>
      <c r="F272" s="4" t="n">
        <v>0.0501277738265098</v>
      </c>
      <c r="G272" s="4" t="n">
        <v>0.00322</v>
      </c>
      <c r="H272" s="4" t="n">
        <v>0.00016142</v>
      </c>
      <c r="I272" s="4" t="n">
        <v>6.697E-005</v>
      </c>
      <c r="J272" s="4" t="n">
        <v>626589.38</v>
      </c>
    </row>
    <row r="273" customFormat="false" ht="15" hidden="false" customHeight="false" outlineLevel="0" collapsed="false">
      <c r="A273" s="4" t="s">
        <v>63</v>
      </c>
      <c r="B273" s="4" t="s">
        <v>83</v>
      </c>
      <c r="C273" s="4" t="n">
        <v>0.95998</v>
      </c>
      <c r="D273" s="4" t="n">
        <v>0.958958777157106</v>
      </c>
      <c r="E273" s="4" t="n">
        <v>0.1534</v>
      </c>
      <c r="F273" s="4" t="n">
        <v>0.148152188299495</v>
      </c>
      <c r="G273" s="4" t="n">
        <v>0.001021</v>
      </c>
      <c r="H273" s="4" t="n">
        <v>0.0001513</v>
      </c>
      <c r="I273" s="4" t="n">
        <v>0.00015073</v>
      </c>
      <c r="J273" s="4" t="n">
        <v>1017364.45</v>
      </c>
    </row>
    <row r="274" customFormat="false" ht="15" hidden="false" customHeight="false" outlineLevel="0" collapsed="false">
      <c r="A274" s="4" t="s">
        <v>63</v>
      </c>
      <c r="B274" s="4" t="s">
        <v>90</v>
      </c>
      <c r="C274" s="4" t="n">
        <v>0.918475</v>
      </c>
      <c r="D274" s="4" t="n">
        <v>0.917809352910417</v>
      </c>
      <c r="E274" s="4" t="n">
        <v>0.186965</v>
      </c>
      <c r="F274" s="4" t="n">
        <v>0.19331227283239</v>
      </c>
      <c r="G274" s="4" t="n">
        <v>0.000666</v>
      </c>
      <c r="H274" s="4" t="n">
        <v>0.00012868</v>
      </c>
      <c r="I274" s="4" t="n">
        <v>7.888E-005</v>
      </c>
      <c r="J274" s="4" t="n">
        <v>2070935.45</v>
      </c>
    </row>
    <row r="275" customFormat="false" ht="15" hidden="false" customHeight="false" outlineLevel="0" collapsed="false">
      <c r="A275" s="4" t="s">
        <v>63</v>
      </c>
      <c r="B275" s="4" t="s">
        <v>92</v>
      </c>
      <c r="C275" s="4" t="n">
        <v>0.941816</v>
      </c>
      <c r="D275" s="4" t="n">
        <v>0.938903293959474</v>
      </c>
      <c r="E275" s="4" t="n">
        <v>0.037998</v>
      </c>
      <c r="F275" s="4" t="n">
        <v>0.0378630863815063</v>
      </c>
      <c r="G275" s="4" t="n">
        <v>0.002913</v>
      </c>
      <c r="H275" s="4" t="n">
        <v>0.00011028</v>
      </c>
      <c r="I275" s="4" t="n">
        <v>1.17E-006</v>
      </c>
      <c r="J275" s="4" t="n">
        <v>307272.36</v>
      </c>
    </row>
    <row r="276" customFormat="false" ht="15" hidden="false" customHeight="false" outlineLevel="0" collapsed="false">
      <c r="A276" s="4" t="s">
        <v>63</v>
      </c>
      <c r="B276" s="4" t="s">
        <v>80</v>
      </c>
      <c r="C276" s="4" t="n">
        <v>0.945761</v>
      </c>
      <c r="D276" s="4" t="n">
        <v>0.946921293567527</v>
      </c>
      <c r="E276" s="4" t="n">
        <v>0.092636</v>
      </c>
      <c r="F276" s="4" t="n">
        <v>0.0925360304737304</v>
      </c>
      <c r="G276" s="4" t="n">
        <v>-0.00116</v>
      </c>
      <c r="H276" s="4" t="n">
        <v>-0.00010737</v>
      </c>
      <c r="I276" s="4" t="n">
        <v>1.67E-006</v>
      </c>
      <c r="J276" s="4" t="n">
        <v>715499.23</v>
      </c>
    </row>
    <row r="277" customFormat="false" ht="15" hidden="false" customHeight="false" outlineLevel="0" collapsed="false">
      <c r="A277" s="4" t="s">
        <v>63</v>
      </c>
      <c r="B277" s="4" t="s">
        <v>86</v>
      </c>
      <c r="C277" s="4" t="n">
        <v>0.954388</v>
      </c>
      <c r="D277" s="4" t="n">
        <v>0.952609806545809</v>
      </c>
      <c r="E277" s="4" t="n">
        <v>0.0614</v>
      </c>
      <c r="F277" s="4" t="n">
        <v>0.0597708070622492</v>
      </c>
      <c r="G277" s="4" t="n">
        <v>0.001778</v>
      </c>
      <c r="H277" s="4" t="n">
        <v>0.00010628</v>
      </c>
      <c r="I277" s="4" t="n">
        <v>3.645E-005</v>
      </c>
      <c r="J277" s="4" t="n">
        <v>410405.31</v>
      </c>
    </row>
    <row r="278" customFormat="false" ht="15" hidden="false" customHeight="false" outlineLevel="0" collapsed="false">
      <c r="A278" s="4" t="s">
        <v>63</v>
      </c>
      <c r="B278" s="4" t="s">
        <v>91</v>
      </c>
      <c r="C278" s="4" t="n">
        <v>0.902345</v>
      </c>
      <c r="D278" s="4" t="n">
        <v>0.900534066489698</v>
      </c>
      <c r="E278" s="4" t="n">
        <v>0.045306</v>
      </c>
      <c r="F278" s="4" t="n">
        <v>0.0460247577242442</v>
      </c>
      <c r="G278" s="4" t="n">
        <v>0.001811</v>
      </c>
      <c r="H278" s="4" t="n">
        <v>8.335E-005</v>
      </c>
      <c r="I278" s="4" t="n">
        <v>2.135E-005</v>
      </c>
      <c r="J278" s="4" t="n">
        <v>648496.72</v>
      </c>
    </row>
    <row r="279" customFormat="false" ht="15" hidden="false" customHeight="false" outlineLevel="0" collapsed="false">
      <c r="A279" s="4" t="s">
        <v>63</v>
      </c>
      <c r="B279" s="4" t="s">
        <v>84</v>
      </c>
      <c r="C279" s="4" t="n">
        <v>0.955371</v>
      </c>
      <c r="D279" s="4" t="n">
        <v>0.95599886081193</v>
      </c>
      <c r="E279" s="4" t="n">
        <v>0.117823</v>
      </c>
      <c r="F279" s="4" t="n">
        <v>0.112353700059487</v>
      </c>
      <c r="G279" s="4" t="n">
        <v>-0.000628</v>
      </c>
      <c r="H279" s="4" t="n">
        <v>-7.054E-005</v>
      </c>
      <c r="I279" s="4" t="n">
        <v>0.0001409</v>
      </c>
      <c r="J279" s="4" t="n">
        <v>811219.92</v>
      </c>
    </row>
    <row r="280" customFormat="false" ht="15" hidden="false" customHeight="false" outlineLevel="0" collapsed="false">
      <c r="A280" s="4" t="s">
        <v>63</v>
      </c>
      <c r="B280" s="4" t="s">
        <v>79</v>
      </c>
      <c r="C280" s="4" t="n">
        <v>0.930849</v>
      </c>
      <c r="D280" s="4" t="n">
        <v>0.928892804329359</v>
      </c>
      <c r="E280" s="4" t="n">
        <v>0.022166</v>
      </c>
      <c r="F280" s="4" t="n">
        <v>0.0231134634488316</v>
      </c>
      <c r="G280" s="4" t="n">
        <v>0.001956</v>
      </c>
      <c r="H280" s="4" t="n">
        <v>4.521E-005</v>
      </c>
      <c r="I280" s="4" t="n">
        <v>1.27E-006</v>
      </c>
      <c r="J280" s="4" t="n">
        <v>210841.63</v>
      </c>
    </row>
    <row r="281" customFormat="false" ht="15" hidden="false" customHeight="false" outlineLevel="0" collapsed="false">
      <c r="A281" s="4" t="s">
        <v>63</v>
      </c>
      <c r="B281" s="4" t="s">
        <v>85</v>
      </c>
      <c r="C281" s="4" t="n">
        <v>0.945971</v>
      </c>
      <c r="D281" s="4" t="n">
        <v>0.947259891802722</v>
      </c>
      <c r="E281" s="4" t="n">
        <v>0.03063</v>
      </c>
      <c r="F281" s="4" t="n">
        <v>0.0299770341636814</v>
      </c>
      <c r="G281" s="4" t="n">
        <v>-0.001289</v>
      </c>
      <c r="H281" s="4" t="n">
        <v>-3.864E-005</v>
      </c>
      <c r="I281" s="4" t="n">
        <v>1.112E-005</v>
      </c>
      <c r="J281" s="4" t="n">
        <v>252218.97</v>
      </c>
    </row>
    <row r="282" customFormat="false" ht="15" hidden="false" customHeight="false" outlineLevel="0" collapsed="false">
      <c r="A282" s="4" t="s">
        <v>63</v>
      </c>
      <c r="B282" s="4" t="s">
        <v>81</v>
      </c>
      <c r="C282" s="4" t="n">
        <v>0.91126</v>
      </c>
      <c r="D282" s="4" t="n">
        <v>0.910609933085884</v>
      </c>
      <c r="E282" s="4" t="n">
        <v>0.057587</v>
      </c>
      <c r="F282" s="4" t="n">
        <v>0.0566226403294049</v>
      </c>
      <c r="G282" s="4" t="n">
        <v>0.00065</v>
      </c>
      <c r="H282" s="4" t="n">
        <v>3.681E-005</v>
      </c>
      <c r="I282" s="4" t="n">
        <v>-1.893E-005</v>
      </c>
      <c r="J282" s="4" t="n">
        <v>758084.16</v>
      </c>
    </row>
    <row r="283" customFormat="false" ht="15" hidden="false" customHeight="false" outlineLevel="0" collapsed="false">
      <c r="A283" s="4" t="s">
        <v>63</v>
      </c>
      <c r="B283" s="4" t="s">
        <v>87</v>
      </c>
      <c r="C283" s="4" t="n">
        <v>0.93521</v>
      </c>
      <c r="D283" s="4" t="n">
        <v>0.936150490730643</v>
      </c>
      <c r="E283" s="4" t="n">
        <v>0.026585</v>
      </c>
      <c r="F283" s="4" t="n">
        <v>0.026674695255424</v>
      </c>
      <c r="G283" s="4" t="n">
        <v>-0.00094</v>
      </c>
      <c r="H283" s="4" t="n">
        <v>-2.509E-005</v>
      </c>
      <c r="I283" s="4" t="n">
        <v>-5.3E-007</v>
      </c>
      <c r="J283" s="4" t="n">
        <v>251807.33</v>
      </c>
    </row>
    <row r="284" customFormat="false" ht="15" hidden="false" customHeight="false" outlineLevel="0" collapsed="false">
      <c r="A284" s="4" t="s">
        <v>64</v>
      </c>
      <c r="B284" s="4" t="s">
        <v>89</v>
      </c>
      <c r="C284" s="4" t="n">
        <v>0.815461</v>
      </c>
      <c r="D284" s="4" t="n">
        <v>0.866725671961616</v>
      </c>
      <c r="E284" s="4" t="n">
        <v>0.045651</v>
      </c>
      <c r="F284" s="4" t="n">
        <v>0.0468341616451626</v>
      </c>
      <c r="G284" s="4" t="n">
        <v>-0.051265</v>
      </c>
      <c r="H284" s="4" t="n">
        <v>-0.00240094</v>
      </c>
      <c r="I284" s="4" t="n">
        <v>7.514E-005</v>
      </c>
      <c r="J284" s="4" t="n">
        <v>1110989.61</v>
      </c>
    </row>
    <row r="285" customFormat="false" ht="15" hidden="false" customHeight="false" outlineLevel="0" collapsed="false">
      <c r="A285" s="4" t="s">
        <v>64</v>
      </c>
      <c r="B285" s="4" t="s">
        <v>88</v>
      </c>
      <c r="C285" s="4" t="n">
        <v>0.900487</v>
      </c>
      <c r="D285" s="4" t="n">
        <v>0.904690509854531</v>
      </c>
      <c r="E285" s="4" t="n">
        <v>0.075061</v>
      </c>
      <c r="F285" s="4" t="n">
        <v>0.076637388497883</v>
      </c>
      <c r="G285" s="4" t="n">
        <v>-0.004204</v>
      </c>
      <c r="H285" s="4" t="n">
        <v>-0.00032215</v>
      </c>
      <c r="I285" s="4" t="n">
        <v>4.027E-005</v>
      </c>
      <c r="J285" s="4" t="n">
        <v>1053828.92</v>
      </c>
    </row>
    <row r="286" customFormat="false" ht="15" hidden="false" customHeight="false" outlineLevel="0" collapsed="false">
      <c r="A286" s="4" t="s">
        <v>64</v>
      </c>
      <c r="B286" s="4" t="s">
        <v>92</v>
      </c>
      <c r="C286" s="4" t="n">
        <v>0.94563</v>
      </c>
      <c r="D286" s="4" t="n">
        <v>0.938903293959474</v>
      </c>
      <c r="E286" s="4" t="n">
        <v>0.037697</v>
      </c>
      <c r="F286" s="4" t="n">
        <v>0.0378630863815063</v>
      </c>
      <c r="G286" s="4" t="n">
        <v>0.006727</v>
      </c>
      <c r="H286" s="4" t="n">
        <v>0.00025469</v>
      </c>
      <c r="I286" s="4" t="n">
        <v>-1.44E-006</v>
      </c>
      <c r="J286" s="4" t="n">
        <v>296557.83</v>
      </c>
    </row>
    <row r="287" customFormat="false" ht="15" hidden="false" customHeight="false" outlineLevel="0" collapsed="false">
      <c r="A287" s="4" t="s">
        <v>64</v>
      </c>
      <c r="B287" s="4" t="s">
        <v>83</v>
      </c>
      <c r="C287" s="4" t="n">
        <v>0.959782</v>
      </c>
      <c r="D287" s="4" t="n">
        <v>0.958958777157106</v>
      </c>
      <c r="E287" s="4" t="n">
        <v>0.152754</v>
      </c>
      <c r="F287" s="4" t="n">
        <v>0.148152188299495</v>
      </c>
      <c r="G287" s="4" t="n">
        <v>0.000823</v>
      </c>
      <c r="H287" s="4" t="n">
        <v>0.00012196</v>
      </c>
      <c r="I287" s="4" t="n">
        <v>0.00013218</v>
      </c>
      <c r="J287" s="4" t="n">
        <v>866292.05</v>
      </c>
    </row>
    <row r="288" customFormat="false" ht="15" hidden="false" customHeight="false" outlineLevel="0" collapsed="false">
      <c r="A288" s="4" t="s">
        <v>64</v>
      </c>
      <c r="B288" s="4" t="s">
        <v>82</v>
      </c>
      <c r="C288" s="4" t="n">
        <v>0.909039</v>
      </c>
      <c r="D288" s="4" t="n">
        <v>0.906629914405919</v>
      </c>
      <c r="E288" s="4" t="n">
        <v>0.046869</v>
      </c>
      <c r="F288" s="4" t="n">
        <v>0.0501277738265098</v>
      </c>
      <c r="G288" s="4" t="n">
        <v>0.002409</v>
      </c>
      <c r="H288" s="4" t="n">
        <v>0.00012076</v>
      </c>
      <c r="I288" s="4" t="n">
        <v>7.693E-005</v>
      </c>
      <c r="J288" s="4" t="n">
        <v>575505.59</v>
      </c>
    </row>
    <row r="289" customFormat="false" ht="15" hidden="false" customHeight="false" outlineLevel="0" collapsed="false">
      <c r="A289" s="4" t="s">
        <v>64</v>
      </c>
      <c r="B289" s="4" t="s">
        <v>91</v>
      </c>
      <c r="C289" s="4" t="n">
        <v>0.902938</v>
      </c>
      <c r="D289" s="4" t="n">
        <v>0.900534066489698</v>
      </c>
      <c r="E289" s="4" t="n">
        <v>0.045226</v>
      </c>
      <c r="F289" s="4" t="n">
        <v>0.0460247577242442</v>
      </c>
      <c r="G289" s="4" t="n">
        <v>0.002404</v>
      </c>
      <c r="H289" s="4" t="n">
        <v>0.00011064</v>
      </c>
      <c r="I289" s="4" t="n">
        <v>2.372E-005</v>
      </c>
      <c r="J289" s="4" t="n">
        <v>528703.38</v>
      </c>
    </row>
    <row r="290" customFormat="false" ht="15" hidden="false" customHeight="false" outlineLevel="0" collapsed="false">
      <c r="A290" s="4" t="s">
        <v>64</v>
      </c>
      <c r="B290" s="4" t="s">
        <v>85</v>
      </c>
      <c r="C290" s="4" t="n">
        <v>0.950828</v>
      </c>
      <c r="D290" s="4" t="n">
        <v>0.947259891802722</v>
      </c>
      <c r="E290" s="4" t="n">
        <v>0.030523</v>
      </c>
      <c r="F290" s="4" t="n">
        <v>0.0299770341636814</v>
      </c>
      <c r="G290" s="4" t="n">
        <v>0.003568</v>
      </c>
      <c r="H290" s="4" t="n">
        <v>0.00010696</v>
      </c>
      <c r="I290" s="4" t="n">
        <v>9.29E-006</v>
      </c>
      <c r="J290" s="4" t="n">
        <v>231355.66</v>
      </c>
    </row>
    <row r="291" customFormat="false" ht="15" hidden="false" customHeight="false" outlineLevel="0" collapsed="false">
      <c r="A291" s="4" t="s">
        <v>64</v>
      </c>
      <c r="B291" s="4" t="s">
        <v>79</v>
      </c>
      <c r="C291" s="4" t="n">
        <v>0.932816</v>
      </c>
      <c r="D291" s="4" t="n">
        <v>0.928892804329359</v>
      </c>
      <c r="E291" s="4" t="n">
        <v>0.02218</v>
      </c>
      <c r="F291" s="4" t="n">
        <v>0.0231134634488316</v>
      </c>
      <c r="G291" s="4" t="n">
        <v>0.003923</v>
      </c>
      <c r="H291" s="4" t="n">
        <v>9.068E-005</v>
      </c>
      <c r="I291" s="4" t="n">
        <v>1.25E-006</v>
      </c>
      <c r="J291" s="4" t="n">
        <v>208566.87</v>
      </c>
    </row>
    <row r="292" customFormat="false" ht="15" hidden="false" customHeight="false" outlineLevel="0" collapsed="false">
      <c r="A292" s="4" t="s">
        <v>64</v>
      </c>
      <c r="B292" s="4" t="s">
        <v>90</v>
      </c>
      <c r="C292" s="4" t="n">
        <v>0.918234</v>
      </c>
      <c r="D292" s="4" t="n">
        <v>0.917809352910417</v>
      </c>
      <c r="E292" s="4" t="n">
        <v>0.188757</v>
      </c>
      <c r="F292" s="4" t="n">
        <v>0.19331227283239</v>
      </c>
      <c r="G292" s="4" t="n">
        <v>0.000425</v>
      </c>
      <c r="H292" s="4" t="n">
        <v>8.209E-005</v>
      </c>
      <c r="I292" s="4" t="n">
        <v>5.661E-005</v>
      </c>
      <c r="J292" s="4" t="n">
        <v>2057785.27</v>
      </c>
    </row>
    <row r="293" customFormat="false" ht="15" hidden="false" customHeight="false" outlineLevel="0" collapsed="false">
      <c r="A293" s="4" t="s">
        <v>64</v>
      </c>
      <c r="B293" s="4" t="s">
        <v>81</v>
      </c>
      <c r="C293" s="4" t="n">
        <v>0.911656</v>
      </c>
      <c r="D293" s="4" t="n">
        <v>0.910609933085884</v>
      </c>
      <c r="E293" s="4" t="n">
        <v>0.057757</v>
      </c>
      <c r="F293" s="4" t="n">
        <v>0.0566226403294049</v>
      </c>
      <c r="G293" s="4" t="n">
        <v>0.001046</v>
      </c>
      <c r="H293" s="4" t="n">
        <v>5.923E-005</v>
      </c>
      <c r="I293" s="4" t="n">
        <v>-2.226E-005</v>
      </c>
      <c r="J293" s="4" t="n">
        <v>692617.32</v>
      </c>
    </row>
    <row r="294" customFormat="false" ht="15" hidden="false" customHeight="false" outlineLevel="0" collapsed="false">
      <c r="A294" s="4" t="s">
        <v>64</v>
      </c>
      <c r="B294" s="4" t="s">
        <v>87</v>
      </c>
      <c r="C294" s="4" t="n">
        <v>0.937595</v>
      </c>
      <c r="D294" s="4" t="n">
        <v>0.936150490730643</v>
      </c>
      <c r="E294" s="4" t="n">
        <v>0.026508</v>
      </c>
      <c r="F294" s="4" t="n">
        <v>0.026674695255424</v>
      </c>
      <c r="G294" s="4" t="n">
        <v>0.001445</v>
      </c>
      <c r="H294" s="4" t="n">
        <v>3.853E-005</v>
      </c>
      <c r="I294" s="4" t="n">
        <v>-9.9E-007</v>
      </c>
      <c r="J294" s="4" t="n">
        <v>220882.16</v>
      </c>
    </row>
    <row r="295" customFormat="false" ht="15" hidden="false" customHeight="false" outlineLevel="0" collapsed="false">
      <c r="A295" s="4" t="s">
        <v>64</v>
      </c>
      <c r="B295" s="4" t="s">
        <v>84</v>
      </c>
      <c r="C295" s="4" t="n">
        <v>0.95618</v>
      </c>
      <c r="D295" s="4" t="n">
        <v>0.95599886081193</v>
      </c>
      <c r="E295" s="4" t="n">
        <v>0.116257</v>
      </c>
      <c r="F295" s="4" t="n">
        <v>0.112353700059487</v>
      </c>
      <c r="G295" s="4" t="n">
        <v>0.000181</v>
      </c>
      <c r="H295" s="4" t="n">
        <v>2.035E-005</v>
      </c>
      <c r="I295" s="4" t="n">
        <v>0.00010056</v>
      </c>
      <c r="J295" s="4" t="n">
        <v>873284.95</v>
      </c>
    </row>
    <row r="296" customFormat="false" ht="15" hidden="false" customHeight="false" outlineLevel="0" collapsed="false">
      <c r="A296" s="4" t="s">
        <v>64</v>
      </c>
      <c r="B296" s="4" t="s">
        <v>86</v>
      </c>
      <c r="C296" s="4" t="n">
        <v>0.952856</v>
      </c>
      <c r="D296" s="4" t="n">
        <v>0.952609806545809</v>
      </c>
      <c r="E296" s="4" t="n">
        <v>0.061219</v>
      </c>
      <c r="F296" s="4" t="n">
        <v>0.0597708070622492</v>
      </c>
      <c r="G296" s="4" t="n">
        <v>0.000246</v>
      </c>
      <c r="H296" s="4" t="n">
        <v>1.472E-005</v>
      </c>
      <c r="I296" s="4" t="n">
        <v>3.24E-005</v>
      </c>
      <c r="J296" s="4" t="n">
        <v>427549.38</v>
      </c>
    </row>
    <row r="297" customFormat="false" ht="15" hidden="false" customHeight="false" outlineLevel="0" collapsed="false">
      <c r="A297" s="4" t="s">
        <v>64</v>
      </c>
      <c r="B297" s="4" t="s">
        <v>80</v>
      </c>
      <c r="C297" s="4" t="n">
        <v>0.946833</v>
      </c>
      <c r="D297" s="4" t="n">
        <v>0.946921293567527</v>
      </c>
      <c r="E297" s="4" t="n">
        <v>0.093542</v>
      </c>
      <c r="F297" s="4" t="n">
        <v>0.0925360304737304</v>
      </c>
      <c r="G297" s="4" t="n">
        <v>-8.8E-005</v>
      </c>
      <c r="H297" s="4" t="n">
        <v>-8.17E-006</v>
      </c>
      <c r="I297" s="4" t="n">
        <v>1.678E-005</v>
      </c>
      <c r="J297" s="4" t="n">
        <v>756758.02</v>
      </c>
    </row>
    <row r="298" customFormat="false" ht="15" hidden="false" customHeight="false" outlineLevel="0" collapsed="false">
      <c r="A298" s="4" t="s">
        <v>65</v>
      </c>
      <c r="B298" s="4" t="s">
        <v>89</v>
      </c>
      <c r="C298" s="4" t="n">
        <v>0.819949</v>
      </c>
      <c r="D298" s="4" t="n">
        <v>0.866725671961616</v>
      </c>
      <c r="E298" s="4" t="n">
        <v>0.045716</v>
      </c>
      <c r="F298" s="4" t="n">
        <v>0.0468341616451626</v>
      </c>
      <c r="G298" s="4" t="n">
        <v>-0.046777</v>
      </c>
      <c r="H298" s="4" t="n">
        <v>-0.00219075</v>
      </c>
      <c r="I298" s="4" t="n">
        <v>7.102E-005</v>
      </c>
      <c r="J298" s="4" t="n">
        <v>1106467.27</v>
      </c>
    </row>
    <row r="299" customFormat="false" ht="15" hidden="false" customHeight="false" outlineLevel="0" collapsed="false">
      <c r="A299" s="4" t="s">
        <v>65</v>
      </c>
      <c r="B299" s="4" t="s">
        <v>90</v>
      </c>
      <c r="C299" s="4" t="n">
        <v>0.920311</v>
      </c>
      <c r="D299" s="4" t="n">
        <v>0.917809352910417</v>
      </c>
      <c r="E299" s="4" t="n">
        <v>0.187556</v>
      </c>
      <c r="F299" s="4" t="n">
        <v>0.19331227283239</v>
      </c>
      <c r="G299" s="4" t="n">
        <v>0.002502</v>
      </c>
      <c r="H299" s="4" t="n">
        <v>0.0004836</v>
      </c>
      <c r="I299" s="4" t="n">
        <v>7.153E-005</v>
      </c>
      <c r="J299" s="4" t="n">
        <v>2058378.16</v>
      </c>
    </row>
    <row r="300" customFormat="false" ht="15" hidden="false" customHeight="false" outlineLevel="0" collapsed="false">
      <c r="A300" s="4" t="s">
        <v>65</v>
      </c>
      <c r="B300" s="4" t="s">
        <v>88</v>
      </c>
      <c r="C300" s="4" t="n">
        <v>0.902649</v>
      </c>
      <c r="D300" s="4" t="n">
        <v>0.904690509854531</v>
      </c>
      <c r="E300" s="4" t="n">
        <v>0.075016</v>
      </c>
      <c r="F300" s="4" t="n">
        <v>0.076637388497883</v>
      </c>
      <c r="G300" s="4" t="n">
        <v>-0.002042</v>
      </c>
      <c r="H300" s="4" t="n">
        <v>-0.00015646</v>
      </c>
      <c r="I300" s="4" t="n">
        <v>4.142E-005</v>
      </c>
      <c r="J300" s="4" t="n">
        <v>1015445.55</v>
      </c>
    </row>
    <row r="301" customFormat="false" ht="15" hidden="false" customHeight="false" outlineLevel="0" collapsed="false">
      <c r="A301" s="4" t="s">
        <v>65</v>
      </c>
      <c r="B301" s="4" t="s">
        <v>80</v>
      </c>
      <c r="C301" s="4" t="n">
        <v>0.945348</v>
      </c>
      <c r="D301" s="4" t="n">
        <v>0.946921293567527</v>
      </c>
      <c r="E301" s="4" t="n">
        <v>0.09254</v>
      </c>
      <c r="F301" s="4" t="n">
        <v>0.0925360304737304</v>
      </c>
      <c r="G301" s="4" t="n">
        <v>-0.001573</v>
      </c>
      <c r="H301" s="4" t="n">
        <v>-0.00014559</v>
      </c>
      <c r="I301" s="4" t="n">
        <v>7E-008</v>
      </c>
      <c r="J301" s="4" t="n">
        <v>676301.27</v>
      </c>
    </row>
    <row r="302" customFormat="false" ht="15" hidden="false" customHeight="false" outlineLevel="0" collapsed="false">
      <c r="A302" s="4" t="s">
        <v>65</v>
      </c>
      <c r="B302" s="4" t="s">
        <v>83</v>
      </c>
      <c r="C302" s="4" t="n">
        <v>0.959751</v>
      </c>
      <c r="D302" s="4" t="n">
        <v>0.958958777157106</v>
      </c>
      <c r="E302" s="4" t="n">
        <v>0.151893</v>
      </c>
      <c r="F302" s="4" t="n">
        <v>0.148152188299495</v>
      </c>
      <c r="G302" s="4" t="n">
        <v>0.000792</v>
      </c>
      <c r="H302" s="4" t="n">
        <v>0.00011737</v>
      </c>
      <c r="I302" s="4" t="n">
        <v>0.00010745</v>
      </c>
      <c r="J302" s="4" t="n">
        <v>893545.42</v>
      </c>
    </row>
    <row r="303" customFormat="false" ht="15" hidden="false" customHeight="false" outlineLevel="0" collapsed="false">
      <c r="A303" s="4" t="s">
        <v>65</v>
      </c>
      <c r="B303" s="4" t="s">
        <v>84</v>
      </c>
      <c r="C303" s="4" t="n">
        <v>0.957042</v>
      </c>
      <c r="D303" s="4" t="n">
        <v>0.95599886081193</v>
      </c>
      <c r="E303" s="4" t="n">
        <v>0.117111</v>
      </c>
      <c r="F303" s="4" t="n">
        <v>0.112353700059487</v>
      </c>
      <c r="G303" s="4" t="n">
        <v>0.001043</v>
      </c>
      <c r="H303" s="4" t="n">
        <v>0.0001172</v>
      </c>
      <c r="I303" s="4" t="n">
        <v>0.00012256</v>
      </c>
      <c r="J303" s="4" t="n">
        <v>771562.72</v>
      </c>
    </row>
    <row r="304" customFormat="false" ht="15" hidden="false" customHeight="false" outlineLevel="0" collapsed="false">
      <c r="A304" s="4" t="s">
        <v>65</v>
      </c>
      <c r="B304" s="4" t="s">
        <v>85</v>
      </c>
      <c r="C304" s="4" t="n">
        <v>0.944638</v>
      </c>
      <c r="D304" s="4" t="n">
        <v>0.947259891802722</v>
      </c>
      <c r="E304" s="4" t="n">
        <v>0.030515</v>
      </c>
      <c r="F304" s="4" t="n">
        <v>0.0299770341636814</v>
      </c>
      <c r="G304" s="4" t="n">
        <v>-0.002622</v>
      </c>
      <c r="H304" s="4" t="n">
        <v>-7.86E-005</v>
      </c>
      <c r="I304" s="4" t="n">
        <v>9.16E-006</v>
      </c>
      <c r="J304" s="4" t="n">
        <v>235793.76</v>
      </c>
    </row>
    <row r="305" customFormat="false" ht="15" hidden="false" customHeight="false" outlineLevel="0" collapsed="false">
      <c r="A305" s="4" t="s">
        <v>65</v>
      </c>
      <c r="B305" s="4" t="s">
        <v>82</v>
      </c>
      <c r="C305" s="4" t="n">
        <v>0.907949</v>
      </c>
      <c r="D305" s="4" t="n">
        <v>0.906629914405919</v>
      </c>
      <c r="E305" s="4" t="n">
        <v>0.047225</v>
      </c>
      <c r="F305" s="4" t="n">
        <v>0.0501277738265098</v>
      </c>
      <c r="G305" s="4" t="n">
        <v>0.001319</v>
      </c>
      <c r="H305" s="4" t="n">
        <v>6.612E-005</v>
      </c>
      <c r="I305" s="4" t="n">
        <v>6.852E-005</v>
      </c>
      <c r="J305" s="4" t="n">
        <v>584657.08</v>
      </c>
    </row>
    <row r="306" customFormat="false" ht="15" hidden="false" customHeight="false" outlineLevel="0" collapsed="false">
      <c r="A306" s="4" t="s">
        <v>65</v>
      </c>
      <c r="B306" s="4" t="s">
        <v>87</v>
      </c>
      <c r="C306" s="4" t="n">
        <v>0.933685</v>
      </c>
      <c r="D306" s="4" t="n">
        <v>0.936150490730643</v>
      </c>
      <c r="E306" s="4" t="n">
        <v>0.02724</v>
      </c>
      <c r="F306" s="4" t="n">
        <v>0.026674695255424</v>
      </c>
      <c r="G306" s="4" t="n">
        <v>-0.002465</v>
      </c>
      <c r="H306" s="4" t="n">
        <v>-6.577E-005</v>
      </c>
      <c r="I306" s="4" t="n">
        <v>3.34E-006</v>
      </c>
      <c r="J306" s="4" t="n">
        <v>257568.47</v>
      </c>
    </row>
    <row r="307" customFormat="false" ht="15" hidden="false" customHeight="false" outlineLevel="0" collapsed="false">
      <c r="A307" s="4" t="s">
        <v>65</v>
      </c>
      <c r="B307" s="4" t="s">
        <v>86</v>
      </c>
      <c r="C307" s="4" t="n">
        <v>0.953312</v>
      </c>
      <c r="D307" s="4" t="n">
        <v>0.952609806545809</v>
      </c>
      <c r="E307" s="4" t="n">
        <v>0.061769</v>
      </c>
      <c r="F307" s="4" t="n">
        <v>0.0597708070622492</v>
      </c>
      <c r="G307" s="4" t="n">
        <v>0.000702</v>
      </c>
      <c r="H307" s="4" t="n">
        <v>4.197E-005</v>
      </c>
      <c r="I307" s="4" t="n">
        <v>4.471E-005</v>
      </c>
      <c r="J307" s="4" t="n">
        <v>400555.85</v>
      </c>
    </row>
    <row r="308" customFormat="false" ht="15" hidden="false" customHeight="false" outlineLevel="0" collapsed="false">
      <c r="A308" s="4" t="s">
        <v>65</v>
      </c>
      <c r="B308" s="4" t="s">
        <v>81</v>
      </c>
      <c r="C308" s="4" t="n">
        <v>0.911347</v>
      </c>
      <c r="D308" s="4" t="n">
        <v>0.910609933085884</v>
      </c>
      <c r="E308" s="4" t="n">
        <v>0.058758</v>
      </c>
      <c r="F308" s="4" t="n">
        <v>0.0566226403294049</v>
      </c>
      <c r="G308" s="4" t="n">
        <v>0.000737</v>
      </c>
      <c r="H308" s="4" t="n">
        <v>4.173E-005</v>
      </c>
      <c r="I308" s="4" t="n">
        <v>-4.191E-005</v>
      </c>
      <c r="J308" s="4" t="n">
        <v>743378.26</v>
      </c>
    </row>
    <row r="309" customFormat="false" ht="15" hidden="false" customHeight="false" outlineLevel="0" collapsed="false">
      <c r="A309" s="4" t="s">
        <v>65</v>
      </c>
      <c r="B309" s="4" t="s">
        <v>92</v>
      </c>
      <c r="C309" s="4" t="n">
        <v>0.939509</v>
      </c>
      <c r="D309" s="4" t="n">
        <v>0.938903293959474</v>
      </c>
      <c r="E309" s="4" t="n">
        <v>0.037823</v>
      </c>
      <c r="F309" s="4" t="n">
        <v>0.0378630863815063</v>
      </c>
      <c r="G309" s="4" t="n">
        <v>0.000606</v>
      </c>
      <c r="H309" s="4" t="n">
        <v>2.293E-005</v>
      </c>
      <c r="I309" s="4" t="n">
        <v>-3.5E-007</v>
      </c>
      <c r="J309" s="4" t="n">
        <v>337527.49</v>
      </c>
    </row>
    <row r="310" customFormat="false" ht="15" hidden="false" customHeight="false" outlineLevel="0" collapsed="false">
      <c r="A310" s="4" t="s">
        <v>65</v>
      </c>
      <c r="B310" s="4" t="s">
        <v>91</v>
      </c>
      <c r="C310" s="4" t="n">
        <v>0.9001</v>
      </c>
      <c r="D310" s="4" t="n">
        <v>0.900534066489698</v>
      </c>
      <c r="E310" s="4" t="n">
        <v>0.045059</v>
      </c>
      <c r="F310" s="4" t="n">
        <v>0.0460247577242442</v>
      </c>
      <c r="G310" s="4" t="n">
        <v>-0.000434</v>
      </c>
      <c r="H310" s="4" t="n">
        <v>-1.998E-005</v>
      </c>
      <c r="I310" s="4" t="n">
        <v>2.869E-005</v>
      </c>
      <c r="J310" s="4" t="n">
        <v>612205.59</v>
      </c>
    </row>
    <row r="311" customFormat="false" ht="15" hidden="false" customHeight="false" outlineLevel="0" collapsed="false">
      <c r="A311" s="4" t="s">
        <v>65</v>
      </c>
      <c r="B311" s="4" t="s">
        <v>79</v>
      </c>
      <c r="C311" s="4" t="n">
        <v>0.92817</v>
      </c>
      <c r="D311" s="4" t="n">
        <v>0.928892804329359</v>
      </c>
      <c r="E311" s="4" t="n">
        <v>0.021778</v>
      </c>
      <c r="F311" s="4" t="n">
        <v>0.0231134634488316</v>
      </c>
      <c r="G311" s="4" t="n">
        <v>-0.000723</v>
      </c>
      <c r="H311" s="4" t="n">
        <v>-1.671E-005</v>
      </c>
      <c r="I311" s="4" t="n">
        <v>1.79E-006</v>
      </c>
      <c r="J311" s="4" t="n">
        <v>215262.97</v>
      </c>
    </row>
    <row r="312" customFormat="false" ht="15" hidden="false" customHeight="false" outlineLevel="0" collapsed="false">
      <c r="A312" s="4" t="s">
        <v>66</v>
      </c>
      <c r="B312" s="4" t="s">
        <v>89</v>
      </c>
      <c r="C312" s="4" t="n">
        <v>0.818611</v>
      </c>
      <c r="D312" s="4" t="n">
        <v>0.866725671961616</v>
      </c>
      <c r="E312" s="4" t="n">
        <v>0.046002</v>
      </c>
      <c r="F312" s="4" t="n">
        <v>0.0468341616451626</v>
      </c>
      <c r="G312" s="4" t="n">
        <v>-0.048115</v>
      </c>
      <c r="H312" s="4" t="n">
        <v>-0.00225341</v>
      </c>
      <c r="I312" s="4" t="n">
        <v>5.285E-005</v>
      </c>
      <c r="J312" s="4" t="n">
        <v>1073546.94</v>
      </c>
    </row>
    <row r="313" customFormat="false" ht="15" hidden="false" customHeight="false" outlineLevel="0" collapsed="false">
      <c r="A313" s="4" t="s">
        <v>66</v>
      </c>
      <c r="B313" s="4" t="s">
        <v>81</v>
      </c>
      <c r="C313" s="4" t="n">
        <v>0.906857</v>
      </c>
      <c r="D313" s="4" t="n">
        <v>0.910609933085884</v>
      </c>
      <c r="E313" s="4" t="n">
        <v>0.058151</v>
      </c>
      <c r="F313" s="4" t="n">
        <v>0.0566226403294049</v>
      </c>
      <c r="G313" s="4" t="n">
        <v>-0.003753</v>
      </c>
      <c r="H313" s="4" t="n">
        <v>-0.0002125</v>
      </c>
      <c r="I313" s="4" t="n">
        <v>-3E-005</v>
      </c>
      <c r="J313" s="4" t="n">
        <v>680467.97</v>
      </c>
    </row>
    <row r="314" customFormat="false" ht="15" hidden="false" customHeight="false" outlineLevel="0" collapsed="false">
      <c r="A314" s="4" t="s">
        <v>66</v>
      </c>
      <c r="B314" s="4" t="s">
        <v>84</v>
      </c>
      <c r="C314" s="4" t="n">
        <v>0.954274</v>
      </c>
      <c r="D314" s="4" t="n">
        <v>0.95599886081193</v>
      </c>
      <c r="E314" s="4" t="n">
        <v>0.11691</v>
      </c>
      <c r="F314" s="4" t="n">
        <v>0.112353700059487</v>
      </c>
      <c r="G314" s="4" t="n">
        <v>-0.001725</v>
      </c>
      <c r="H314" s="4" t="n">
        <v>-0.00019379</v>
      </c>
      <c r="I314" s="4" t="n">
        <v>0.00011738</v>
      </c>
      <c r="J314" s="4" t="n">
        <v>779563.05</v>
      </c>
    </row>
    <row r="315" customFormat="false" ht="15" hidden="false" customHeight="false" outlineLevel="0" collapsed="false">
      <c r="A315" s="4" t="s">
        <v>66</v>
      </c>
      <c r="B315" s="4" t="s">
        <v>83</v>
      </c>
      <c r="C315" s="4" t="n">
        <v>0.96019</v>
      </c>
      <c r="D315" s="4" t="n">
        <v>0.958958777157106</v>
      </c>
      <c r="E315" s="4" t="n">
        <v>0.152265</v>
      </c>
      <c r="F315" s="4" t="n">
        <v>0.148152188299495</v>
      </c>
      <c r="G315" s="4" t="n">
        <v>0.001231</v>
      </c>
      <c r="H315" s="4" t="n">
        <v>0.00018241</v>
      </c>
      <c r="I315" s="4" t="n">
        <v>0.00011813</v>
      </c>
      <c r="J315" s="4" t="n">
        <v>850929.62</v>
      </c>
    </row>
    <row r="316" customFormat="false" ht="15" hidden="false" customHeight="false" outlineLevel="0" collapsed="false">
      <c r="A316" s="4" t="s">
        <v>66</v>
      </c>
      <c r="B316" s="4" t="s">
        <v>88</v>
      </c>
      <c r="C316" s="4" t="n">
        <v>0.902744</v>
      </c>
      <c r="D316" s="4" t="n">
        <v>0.904690509854531</v>
      </c>
      <c r="E316" s="4" t="n">
        <v>0.074351</v>
      </c>
      <c r="F316" s="4" t="n">
        <v>0.076637388497883</v>
      </c>
      <c r="G316" s="4" t="n">
        <v>-0.001947</v>
      </c>
      <c r="H316" s="4" t="n">
        <v>-0.00014918</v>
      </c>
      <c r="I316" s="4" t="n">
        <v>5.841E-005</v>
      </c>
      <c r="J316" s="4" t="n">
        <v>946663.59</v>
      </c>
    </row>
    <row r="317" customFormat="false" ht="15" hidden="false" customHeight="false" outlineLevel="0" collapsed="false">
      <c r="A317" s="4" t="s">
        <v>66</v>
      </c>
      <c r="B317" s="4" t="s">
        <v>87</v>
      </c>
      <c r="C317" s="4" t="n">
        <v>0.930616</v>
      </c>
      <c r="D317" s="4" t="n">
        <v>0.936150490730643</v>
      </c>
      <c r="E317" s="4" t="n">
        <v>0.026684</v>
      </c>
      <c r="F317" s="4" t="n">
        <v>0.026674695255424</v>
      </c>
      <c r="G317" s="4" t="n">
        <v>-0.005534</v>
      </c>
      <c r="H317" s="4" t="n">
        <v>-0.00014763</v>
      </c>
      <c r="I317" s="4" t="n">
        <v>6E-008</v>
      </c>
      <c r="J317" s="4" t="n">
        <v>226085.77</v>
      </c>
    </row>
    <row r="318" customFormat="false" ht="15" hidden="false" customHeight="false" outlineLevel="0" collapsed="false">
      <c r="A318" s="4" t="s">
        <v>66</v>
      </c>
      <c r="B318" s="4" t="s">
        <v>90</v>
      </c>
      <c r="C318" s="4" t="n">
        <v>0.917089</v>
      </c>
      <c r="D318" s="4" t="n">
        <v>0.917809352910417</v>
      </c>
      <c r="E318" s="4" t="n">
        <v>0.189455</v>
      </c>
      <c r="F318" s="4" t="n">
        <v>0.19331227283239</v>
      </c>
      <c r="G318" s="4" t="n">
        <v>-0.00072</v>
      </c>
      <c r="H318" s="4" t="n">
        <v>-0.00013925</v>
      </c>
      <c r="I318" s="4" t="n">
        <v>4.793E-005</v>
      </c>
      <c r="J318" s="4" t="n">
        <v>2082102.19</v>
      </c>
    </row>
    <row r="319" customFormat="false" ht="15" hidden="false" customHeight="false" outlineLevel="0" collapsed="false">
      <c r="A319" s="4" t="s">
        <v>66</v>
      </c>
      <c r="B319" s="4" t="s">
        <v>82</v>
      </c>
      <c r="C319" s="4" t="n">
        <v>0.90914</v>
      </c>
      <c r="D319" s="4" t="n">
        <v>0.906629914405919</v>
      </c>
      <c r="E319" s="4" t="n">
        <v>0.047236</v>
      </c>
      <c r="F319" s="4" t="n">
        <v>0.0501277738265098</v>
      </c>
      <c r="G319" s="4" t="n">
        <v>0.00251</v>
      </c>
      <c r="H319" s="4" t="n">
        <v>0.00012583</v>
      </c>
      <c r="I319" s="4" t="n">
        <v>6.826E-005</v>
      </c>
      <c r="J319" s="4" t="n">
        <v>549662.83</v>
      </c>
    </row>
    <row r="320" customFormat="false" ht="15" hidden="false" customHeight="false" outlineLevel="0" collapsed="false">
      <c r="A320" s="4" t="s">
        <v>66</v>
      </c>
      <c r="B320" s="4" t="s">
        <v>80</v>
      </c>
      <c r="C320" s="4" t="n">
        <v>0.945896</v>
      </c>
      <c r="D320" s="4" t="n">
        <v>0.946921293567527</v>
      </c>
      <c r="E320" s="4" t="n">
        <v>0.092243</v>
      </c>
      <c r="F320" s="4" t="n">
        <v>0.0925360304737304</v>
      </c>
      <c r="G320" s="4" t="n">
        <v>-0.001025</v>
      </c>
      <c r="H320" s="4" t="n">
        <v>-9.488E-005</v>
      </c>
      <c r="I320" s="4" t="n">
        <v>-4.89E-006</v>
      </c>
      <c r="J320" s="4" t="n">
        <v>718166.79</v>
      </c>
    </row>
    <row r="321" customFormat="false" ht="15" hidden="false" customHeight="false" outlineLevel="0" collapsed="false">
      <c r="A321" s="4" t="s">
        <v>66</v>
      </c>
      <c r="B321" s="4" t="s">
        <v>79</v>
      </c>
      <c r="C321" s="4" t="n">
        <v>0.925504</v>
      </c>
      <c r="D321" s="4" t="n">
        <v>0.928892804329359</v>
      </c>
      <c r="E321" s="4" t="n">
        <v>0.022243</v>
      </c>
      <c r="F321" s="4" t="n">
        <v>0.0231134634488316</v>
      </c>
      <c r="G321" s="4" t="n">
        <v>-0.003389</v>
      </c>
      <c r="H321" s="4" t="n">
        <v>-7.833E-005</v>
      </c>
      <c r="I321" s="4" t="n">
        <v>1.17E-006</v>
      </c>
      <c r="J321" s="4" t="n">
        <v>239174.69</v>
      </c>
    </row>
    <row r="322" customFormat="false" ht="15" hidden="false" customHeight="false" outlineLevel="0" collapsed="false">
      <c r="A322" s="4" t="s">
        <v>66</v>
      </c>
      <c r="B322" s="4" t="s">
        <v>85</v>
      </c>
      <c r="C322" s="4" t="n">
        <v>0.949513</v>
      </c>
      <c r="D322" s="4" t="n">
        <v>0.947259891802722</v>
      </c>
      <c r="E322" s="4" t="n">
        <v>0.030979</v>
      </c>
      <c r="F322" s="4" t="n">
        <v>0.0299770341636814</v>
      </c>
      <c r="G322" s="4" t="n">
        <v>0.002253</v>
      </c>
      <c r="H322" s="4" t="n">
        <v>6.754E-005</v>
      </c>
      <c r="I322" s="4" t="n">
        <v>1.706E-005</v>
      </c>
      <c r="J322" s="4" t="n">
        <v>199734.15</v>
      </c>
    </row>
    <row r="323" customFormat="false" ht="15" hidden="false" customHeight="false" outlineLevel="0" collapsed="false">
      <c r="A323" s="4" t="s">
        <v>66</v>
      </c>
      <c r="B323" s="4" t="s">
        <v>91</v>
      </c>
      <c r="C323" s="4" t="n">
        <v>0.901991</v>
      </c>
      <c r="D323" s="4" t="n">
        <v>0.900534066489698</v>
      </c>
      <c r="E323" s="4" t="n">
        <v>0.044596</v>
      </c>
      <c r="F323" s="4" t="n">
        <v>0.0460247577242442</v>
      </c>
      <c r="G323" s="4" t="n">
        <v>0.001457</v>
      </c>
      <c r="H323" s="4" t="n">
        <v>6.706E-005</v>
      </c>
      <c r="I323" s="4" t="n">
        <v>4.244E-005</v>
      </c>
      <c r="J323" s="4" t="n">
        <v>559972.42</v>
      </c>
    </row>
    <row r="324" customFormat="false" ht="15" hidden="false" customHeight="false" outlineLevel="0" collapsed="false">
      <c r="A324" s="4" t="s">
        <v>66</v>
      </c>
      <c r="B324" s="4" t="s">
        <v>86</v>
      </c>
      <c r="C324" s="4" t="n">
        <v>0.951797</v>
      </c>
      <c r="D324" s="4" t="n">
        <v>0.952609806545809</v>
      </c>
      <c r="E324" s="4" t="n">
        <v>0.06045</v>
      </c>
      <c r="F324" s="4" t="n">
        <v>0.0597708070622492</v>
      </c>
      <c r="G324" s="4" t="n">
        <v>-0.000813</v>
      </c>
      <c r="H324" s="4" t="n">
        <v>-4.858E-005</v>
      </c>
      <c r="I324" s="4" t="n">
        <v>1.52E-005</v>
      </c>
      <c r="J324" s="4" t="n">
        <v>389472.32</v>
      </c>
    </row>
    <row r="325" customFormat="false" ht="15" hidden="false" customHeight="false" outlineLevel="0" collapsed="false">
      <c r="A325" s="4" t="s">
        <v>66</v>
      </c>
      <c r="B325" s="4" t="s">
        <v>92</v>
      </c>
      <c r="C325" s="4" t="n">
        <v>0.939878</v>
      </c>
      <c r="D325" s="4" t="n">
        <v>0.938903293959474</v>
      </c>
      <c r="E325" s="4" t="n">
        <v>0.038435</v>
      </c>
      <c r="F325" s="4" t="n">
        <v>0.0378630863815063</v>
      </c>
      <c r="G325" s="4" t="n">
        <v>0.000975</v>
      </c>
      <c r="H325" s="4" t="n">
        <v>3.691E-005</v>
      </c>
      <c r="I325" s="4" t="n">
        <v>4.96E-006</v>
      </c>
      <c r="J325" s="4" t="n">
        <v>326609</v>
      </c>
    </row>
    <row r="326" customFormat="false" ht="15" hidden="false" customHeight="false" outlineLevel="0" collapsed="false">
      <c r="A326" s="4" t="s">
        <v>67</v>
      </c>
      <c r="B326" s="4" t="s">
        <v>89</v>
      </c>
      <c r="C326" s="4" t="n">
        <v>0.812376</v>
      </c>
      <c r="D326" s="4" t="n">
        <v>0.866725671961616</v>
      </c>
      <c r="E326" s="4" t="n">
        <v>0.046128</v>
      </c>
      <c r="F326" s="4" t="n">
        <v>0.0468341616451626</v>
      </c>
      <c r="G326" s="4" t="n">
        <v>-0.05435</v>
      </c>
      <c r="H326" s="4" t="n">
        <v>-0.00254542</v>
      </c>
      <c r="I326" s="4" t="n">
        <v>4.485E-005</v>
      </c>
      <c r="J326" s="4" t="n">
        <v>1092537.32</v>
      </c>
    </row>
    <row r="327" customFormat="false" ht="15" hidden="false" customHeight="false" outlineLevel="0" collapsed="false">
      <c r="A327" s="4" t="s">
        <v>67</v>
      </c>
      <c r="B327" s="4" t="s">
        <v>88</v>
      </c>
      <c r="C327" s="4" t="n">
        <v>0.899357</v>
      </c>
      <c r="D327" s="4" t="n">
        <v>0.904690509854531</v>
      </c>
      <c r="E327" s="4" t="n">
        <v>0.074474</v>
      </c>
      <c r="F327" s="4" t="n">
        <v>0.076637388497883</v>
      </c>
      <c r="G327" s="4" t="n">
        <v>-0.005334</v>
      </c>
      <c r="H327" s="4" t="n">
        <v>-0.00040875</v>
      </c>
      <c r="I327" s="4" t="n">
        <v>5.527E-005</v>
      </c>
      <c r="J327" s="4" t="n">
        <v>1008194.45</v>
      </c>
    </row>
    <row r="328" customFormat="false" ht="15" hidden="false" customHeight="false" outlineLevel="0" collapsed="false">
      <c r="A328" s="4" t="s">
        <v>67</v>
      </c>
      <c r="B328" s="4" t="s">
        <v>90</v>
      </c>
      <c r="C328" s="4" t="n">
        <v>0.918927</v>
      </c>
      <c r="D328" s="4" t="n">
        <v>0.917809352910417</v>
      </c>
      <c r="E328" s="4" t="n">
        <v>0.189294</v>
      </c>
      <c r="F328" s="4" t="n">
        <v>0.19331227283239</v>
      </c>
      <c r="G328" s="4" t="n">
        <v>0.001118</v>
      </c>
      <c r="H328" s="4" t="n">
        <v>0.00021605</v>
      </c>
      <c r="I328" s="4" t="n">
        <v>4.994E-005</v>
      </c>
      <c r="J328" s="4" t="n">
        <v>2004695.04</v>
      </c>
    </row>
    <row r="329" customFormat="false" ht="15" hidden="false" customHeight="false" outlineLevel="0" collapsed="false">
      <c r="A329" s="4" t="s">
        <v>67</v>
      </c>
      <c r="B329" s="4" t="s">
        <v>83</v>
      </c>
      <c r="C329" s="4" t="n">
        <v>0.960361</v>
      </c>
      <c r="D329" s="4" t="n">
        <v>0.958958777157106</v>
      </c>
      <c r="E329" s="4" t="n">
        <v>0.151071</v>
      </c>
      <c r="F329" s="4" t="n">
        <v>0.148152188299495</v>
      </c>
      <c r="G329" s="4" t="n">
        <v>0.001402</v>
      </c>
      <c r="H329" s="4" t="n">
        <v>0.00020774</v>
      </c>
      <c r="I329" s="4" t="n">
        <v>8.384E-005</v>
      </c>
      <c r="J329" s="4" t="n">
        <v>856583.52</v>
      </c>
    </row>
    <row r="330" customFormat="false" ht="15" hidden="false" customHeight="false" outlineLevel="0" collapsed="false">
      <c r="A330" s="4" t="s">
        <v>67</v>
      </c>
      <c r="B330" s="4" t="s">
        <v>80</v>
      </c>
      <c r="C330" s="4" t="n">
        <v>0.945377</v>
      </c>
      <c r="D330" s="4" t="n">
        <v>0.946921293567527</v>
      </c>
      <c r="E330" s="4" t="n">
        <v>0.092678</v>
      </c>
      <c r="F330" s="4" t="n">
        <v>0.0925360304737304</v>
      </c>
      <c r="G330" s="4" t="n">
        <v>-0.001544</v>
      </c>
      <c r="H330" s="4" t="n">
        <v>-0.0001429</v>
      </c>
      <c r="I330" s="4" t="n">
        <v>2.37E-006</v>
      </c>
      <c r="J330" s="4" t="n">
        <v>654036.7</v>
      </c>
    </row>
    <row r="331" customFormat="false" ht="15" hidden="false" customHeight="false" outlineLevel="0" collapsed="false">
      <c r="A331" s="4" t="s">
        <v>67</v>
      </c>
      <c r="B331" s="4" t="s">
        <v>91</v>
      </c>
      <c r="C331" s="4" t="n">
        <v>0.897505</v>
      </c>
      <c r="D331" s="4" t="n">
        <v>0.900534066489698</v>
      </c>
      <c r="E331" s="4" t="n">
        <v>0.045445</v>
      </c>
      <c r="F331" s="4" t="n">
        <v>0.0460247577242442</v>
      </c>
      <c r="G331" s="4" t="n">
        <v>-0.003029</v>
      </c>
      <c r="H331" s="4" t="n">
        <v>-0.00013941</v>
      </c>
      <c r="I331" s="4" t="n">
        <v>1.722E-005</v>
      </c>
      <c r="J331" s="4" t="n">
        <v>564912.23</v>
      </c>
    </row>
    <row r="332" customFormat="false" ht="15" hidden="false" customHeight="false" outlineLevel="0" collapsed="false">
      <c r="A332" s="4" t="s">
        <v>67</v>
      </c>
      <c r="B332" s="4" t="s">
        <v>82</v>
      </c>
      <c r="C332" s="4" t="n">
        <v>0.909238</v>
      </c>
      <c r="D332" s="4" t="n">
        <v>0.906629914405919</v>
      </c>
      <c r="E332" s="4" t="n">
        <v>0.047615</v>
      </c>
      <c r="F332" s="4" t="n">
        <v>0.0501277738265098</v>
      </c>
      <c r="G332" s="4" t="n">
        <v>0.002608</v>
      </c>
      <c r="H332" s="4" t="n">
        <v>0.00013074</v>
      </c>
      <c r="I332" s="4" t="n">
        <v>5.932E-005</v>
      </c>
      <c r="J332" s="4" t="n">
        <v>557641.41</v>
      </c>
    </row>
    <row r="333" customFormat="false" ht="15" hidden="false" customHeight="false" outlineLevel="0" collapsed="false">
      <c r="A333" s="4" t="s">
        <v>67</v>
      </c>
      <c r="B333" s="4" t="s">
        <v>84</v>
      </c>
      <c r="C333" s="4" t="n">
        <v>0.956684</v>
      </c>
      <c r="D333" s="4" t="n">
        <v>0.95599886081193</v>
      </c>
      <c r="E333" s="4" t="n">
        <v>0.117529</v>
      </c>
      <c r="F333" s="4" t="n">
        <v>0.112353700059487</v>
      </c>
      <c r="G333" s="4" t="n">
        <v>0.000685</v>
      </c>
      <c r="H333" s="4" t="n">
        <v>7.698E-005</v>
      </c>
      <c r="I333" s="4" t="n">
        <v>0.00013333</v>
      </c>
      <c r="J333" s="4" t="n">
        <v>619493.2</v>
      </c>
    </row>
    <row r="334" customFormat="false" ht="15" hidden="false" customHeight="false" outlineLevel="0" collapsed="false">
      <c r="A334" s="4" t="s">
        <v>67</v>
      </c>
      <c r="B334" s="4" t="s">
        <v>92</v>
      </c>
      <c r="C334" s="4" t="n">
        <v>0.940825</v>
      </c>
      <c r="D334" s="4" t="n">
        <v>0.938903293959474</v>
      </c>
      <c r="E334" s="4" t="n">
        <v>0.038129</v>
      </c>
      <c r="F334" s="4" t="n">
        <v>0.0378630863815063</v>
      </c>
      <c r="G334" s="4" t="n">
        <v>0.001922</v>
      </c>
      <c r="H334" s="4" t="n">
        <v>7.276E-005</v>
      </c>
      <c r="I334" s="4" t="n">
        <v>2.3E-006</v>
      </c>
      <c r="J334" s="4" t="n">
        <v>322631.76</v>
      </c>
    </row>
    <row r="335" customFormat="false" ht="15" hidden="false" customHeight="false" outlineLevel="0" collapsed="false">
      <c r="A335" s="4" t="s">
        <v>67</v>
      </c>
      <c r="B335" s="4" t="s">
        <v>85</v>
      </c>
      <c r="C335" s="4" t="n">
        <v>0.949547</v>
      </c>
      <c r="D335" s="4" t="n">
        <v>0.947259891802722</v>
      </c>
      <c r="E335" s="4" t="n">
        <v>0.030491</v>
      </c>
      <c r="F335" s="4" t="n">
        <v>0.0299770341636814</v>
      </c>
      <c r="G335" s="4" t="n">
        <v>0.002287</v>
      </c>
      <c r="H335" s="4" t="n">
        <v>6.856E-005</v>
      </c>
      <c r="I335" s="4" t="n">
        <v>8.75E-006</v>
      </c>
      <c r="J335" s="4" t="n">
        <v>202082.87</v>
      </c>
    </row>
    <row r="336" customFormat="false" ht="15" hidden="false" customHeight="false" outlineLevel="0" collapsed="false">
      <c r="A336" s="4" t="s">
        <v>67</v>
      </c>
      <c r="B336" s="4" t="s">
        <v>81</v>
      </c>
      <c r="C336" s="4" t="n">
        <v>0.911526</v>
      </c>
      <c r="D336" s="4" t="n">
        <v>0.910609933085884</v>
      </c>
      <c r="E336" s="4" t="n">
        <v>0.057638</v>
      </c>
      <c r="F336" s="4" t="n">
        <v>0.0566226403294049</v>
      </c>
      <c r="G336" s="4" t="n">
        <v>0.000916</v>
      </c>
      <c r="H336" s="4" t="n">
        <v>5.187E-005</v>
      </c>
      <c r="I336" s="4" t="n">
        <v>-1.993E-005</v>
      </c>
      <c r="J336" s="4" t="n">
        <v>684562.29</v>
      </c>
    </row>
    <row r="337" customFormat="false" ht="15" hidden="false" customHeight="false" outlineLevel="0" collapsed="false">
      <c r="A337" s="4" t="s">
        <v>67</v>
      </c>
      <c r="B337" s="4" t="s">
        <v>86</v>
      </c>
      <c r="C337" s="4" t="n">
        <v>0.951826</v>
      </c>
      <c r="D337" s="4" t="n">
        <v>0.952609806545809</v>
      </c>
      <c r="E337" s="4" t="n">
        <v>0.060674</v>
      </c>
      <c r="F337" s="4" t="n">
        <v>0.0597708070622492</v>
      </c>
      <c r="G337" s="4" t="n">
        <v>-0.000784</v>
      </c>
      <c r="H337" s="4" t="n">
        <v>-4.685E-005</v>
      </c>
      <c r="I337" s="4" t="n">
        <v>2.021E-005</v>
      </c>
      <c r="J337" s="4" t="n">
        <v>406017.81</v>
      </c>
    </row>
    <row r="338" customFormat="false" ht="15" hidden="false" customHeight="false" outlineLevel="0" collapsed="false">
      <c r="A338" s="4" t="s">
        <v>67</v>
      </c>
      <c r="B338" s="4" t="s">
        <v>87</v>
      </c>
      <c r="C338" s="4" t="n">
        <v>0.936811</v>
      </c>
      <c r="D338" s="4" t="n">
        <v>0.936150490730643</v>
      </c>
      <c r="E338" s="4" t="n">
        <v>0.02687</v>
      </c>
      <c r="F338" s="4" t="n">
        <v>0.026674695255424</v>
      </c>
      <c r="G338" s="4" t="n">
        <v>0.000661</v>
      </c>
      <c r="H338" s="4" t="n">
        <v>1.762E-005</v>
      </c>
      <c r="I338" s="4" t="n">
        <v>1.16E-006</v>
      </c>
      <c r="J338" s="4" t="n">
        <v>213271.44</v>
      </c>
    </row>
    <row r="339" customFormat="false" ht="15" hidden="false" customHeight="false" outlineLevel="0" collapsed="false">
      <c r="A339" s="4" t="s">
        <v>67</v>
      </c>
      <c r="B339" s="4" t="s">
        <v>79</v>
      </c>
      <c r="C339" s="4" t="n">
        <v>0.928923</v>
      </c>
      <c r="D339" s="4" t="n">
        <v>0.928892804329359</v>
      </c>
      <c r="E339" s="4" t="n">
        <v>0.021964</v>
      </c>
      <c r="F339" s="4" t="n">
        <v>0.0231134634488316</v>
      </c>
      <c r="G339" s="4" t="n">
        <v>3E-005</v>
      </c>
      <c r="H339" s="4" t="n">
        <v>7E-007</v>
      </c>
      <c r="I339" s="4" t="n">
        <v>1.54E-006</v>
      </c>
      <c r="J339" s="4" t="n">
        <v>205755.22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28"/>
    <col collapsed="false" customWidth="true" hidden="false" outlineLevel="0" max="5" min="5" style="0" width="21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15" hidden="false" customHeight="false" outlineLevel="0" collapsed="false">
      <c r="A3" s="7" t="s">
        <v>98</v>
      </c>
      <c r="B3" s="7" t="s">
        <v>99</v>
      </c>
      <c r="C3" s="7" t="s">
        <v>100</v>
      </c>
      <c r="D3" s="7" t="s">
        <v>101</v>
      </c>
      <c r="E3" s="7" t="s">
        <v>102</v>
      </c>
      <c r="F3" s="7" t="s">
        <v>103</v>
      </c>
    </row>
    <row r="4" customFormat="false" ht="15" hidden="false" customHeight="false" outlineLevel="0" collapsed="false">
      <c r="A4" s="4" t="s">
        <v>104</v>
      </c>
      <c r="B4" s="4" t="n">
        <v>4275</v>
      </c>
      <c r="C4" s="4" t="n">
        <v>115692074.96</v>
      </c>
      <c r="D4" s="4" t="n">
        <v>5830880.58</v>
      </c>
      <c r="E4" s="4" t="n">
        <v>0.2033</v>
      </c>
      <c r="F4" s="4" t="n">
        <v>1845668.54</v>
      </c>
    </row>
    <row r="5" customFormat="false" ht="15" hidden="false" customHeight="false" outlineLevel="0" collapsed="false">
      <c r="A5" s="4" t="s">
        <v>105</v>
      </c>
      <c r="B5" s="4" t="n">
        <v>1324</v>
      </c>
      <c r="C5" s="4" t="n">
        <v>24631113.63</v>
      </c>
      <c r="D5" s="4" t="n">
        <v>1241408.13</v>
      </c>
      <c r="E5" s="4" t="n">
        <v>0.2161</v>
      </c>
      <c r="F5" s="4" t="n">
        <v>465495.41</v>
      </c>
    </row>
    <row r="6" customFormat="false" ht="15" hidden="false" customHeight="false" outlineLevel="0" collapsed="false">
      <c r="A6" s="4" t="s">
        <v>106</v>
      </c>
      <c r="B6" s="4" t="n">
        <v>397</v>
      </c>
      <c r="C6" s="4" t="n">
        <v>6784871.24</v>
      </c>
      <c r="D6" s="4" t="n">
        <v>341957.51</v>
      </c>
      <c r="E6" s="4" t="n">
        <v>0.1874</v>
      </c>
      <c r="F6" s="4" t="n">
        <v>76009.95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7" t="s">
        <v>29</v>
      </c>
      <c r="B3" s="7" t="s">
        <v>37</v>
      </c>
      <c r="C3" s="7" t="s">
        <v>107</v>
      </c>
      <c r="D3" s="7" t="s">
        <v>36</v>
      </c>
      <c r="E3" s="7" t="s">
        <v>108</v>
      </c>
    </row>
    <row r="4" customFormat="false" ht="15" hidden="false" customHeight="false" outlineLevel="0" collapsed="false">
      <c r="A4" s="4" t="s">
        <v>44</v>
      </c>
      <c r="B4" s="4" t="n">
        <v>4247095.84</v>
      </c>
      <c r="C4" s="4" t="n">
        <v>17837.8</v>
      </c>
      <c r="D4" s="4" t="n">
        <v>0.929547</v>
      </c>
      <c r="E4" s="4" t="n">
        <v>151.07</v>
      </c>
    </row>
    <row r="5" customFormat="false" ht="15" hidden="false" customHeight="false" outlineLevel="0" collapsed="false">
      <c r="A5" s="4" t="s">
        <v>45</v>
      </c>
      <c r="B5" s="4" t="n">
        <v>5006174.1</v>
      </c>
      <c r="C5" s="4" t="n">
        <v>21025.93</v>
      </c>
      <c r="D5" s="4" t="n">
        <v>0.931171</v>
      </c>
      <c r="E5" s="4" t="n">
        <v>0</v>
      </c>
    </row>
    <row r="6" customFormat="false" ht="15" hidden="false" customHeight="false" outlineLevel="0" collapsed="false">
      <c r="A6" s="4" t="s">
        <v>46</v>
      </c>
      <c r="B6" s="4" t="n">
        <v>7077599.15</v>
      </c>
      <c r="C6" s="4" t="n">
        <v>29725.92</v>
      </c>
      <c r="D6" s="4" t="n">
        <v>0.930093</v>
      </c>
      <c r="E6" s="4" t="n">
        <v>54.34</v>
      </c>
    </row>
    <row r="7" customFormat="false" ht="15" hidden="false" customHeight="false" outlineLevel="0" collapsed="false">
      <c r="A7" s="4" t="s">
        <v>47</v>
      </c>
      <c r="B7" s="4" t="n">
        <v>7309896.43</v>
      </c>
      <c r="C7" s="4" t="n">
        <v>30701.57</v>
      </c>
      <c r="D7" s="4" t="n">
        <v>0.930136</v>
      </c>
      <c r="E7" s="4" t="n">
        <v>38.37</v>
      </c>
    </row>
    <row r="8" customFormat="false" ht="15" hidden="false" customHeight="false" outlineLevel="0" collapsed="false">
      <c r="A8" s="4" t="s">
        <v>48</v>
      </c>
      <c r="B8" s="4" t="n">
        <v>7373727.23</v>
      </c>
      <c r="C8" s="4" t="n">
        <v>30969.65</v>
      </c>
      <c r="D8" s="4" t="n">
        <v>0.930156</v>
      </c>
      <c r="E8" s="4" t="n">
        <v>29.98</v>
      </c>
    </row>
    <row r="9" customFormat="false" ht="15" hidden="false" customHeight="false" outlineLevel="0" collapsed="false">
      <c r="A9" s="4" t="s">
        <v>49</v>
      </c>
      <c r="B9" s="4" t="n">
        <v>6675394.48</v>
      </c>
      <c r="C9" s="4" t="n">
        <v>28036.66</v>
      </c>
      <c r="D9" s="4" t="n">
        <v>0.93028</v>
      </c>
      <c r="E9" s="4" t="n">
        <v>0</v>
      </c>
    </row>
    <row r="10" customFormat="false" ht="15" hidden="false" customHeight="false" outlineLevel="0" collapsed="false">
      <c r="A10" s="4" t="s">
        <v>50</v>
      </c>
      <c r="B10" s="4" t="n">
        <v>6682753.91</v>
      </c>
      <c r="C10" s="4" t="n">
        <v>28067.57</v>
      </c>
      <c r="D10" s="4" t="n">
        <v>0.93037</v>
      </c>
      <c r="E10" s="4" t="n">
        <v>0</v>
      </c>
    </row>
    <row r="11" customFormat="false" ht="15" hidden="false" customHeight="false" outlineLevel="0" collapsed="false">
      <c r="A11" s="4" t="s">
        <v>51</v>
      </c>
      <c r="B11" s="4" t="n">
        <v>7871125.16</v>
      </c>
      <c r="C11" s="4" t="n">
        <v>33058.73</v>
      </c>
      <c r="D11" s="4" t="n">
        <v>0.929465</v>
      </c>
      <c r="E11" s="4" t="n">
        <v>334.62</v>
      </c>
    </row>
    <row r="12" customFormat="false" ht="15" hidden="false" customHeight="false" outlineLevel="0" collapsed="false">
      <c r="A12" s="4" t="s">
        <v>52</v>
      </c>
      <c r="B12" s="4" t="n">
        <v>7952462.35</v>
      </c>
      <c r="C12" s="4" t="n">
        <v>33400.34</v>
      </c>
      <c r="D12" s="4" t="n">
        <v>0.930503</v>
      </c>
      <c r="E12" s="4" t="n">
        <v>0</v>
      </c>
    </row>
    <row r="13" customFormat="false" ht="15" hidden="false" customHeight="false" outlineLevel="0" collapsed="false">
      <c r="A13" s="4" t="s">
        <v>53</v>
      </c>
      <c r="B13" s="4" t="n">
        <v>7640805.54</v>
      </c>
      <c r="C13" s="4" t="n">
        <v>32091.38</v>
      </c>
      <c r="D13" s="4" t="n">
        <v>0.930002</v>
      </c>
      <c r="E13" s="4" t="n">
        <v>98.25</v>
      </c>
    </row>
    <row r="14" customFormat="false" ht="15" hidden="false" customHeight="false" outlineLevel="0" collapsed="false">
      <c r="A14" s="4" t="s">
        <v>54</v>
      </c>
      <c r="B14" s="4" t="n">
        <v>7545367.2</v>
      </c>
      <c r="C14" s="4" t="n">
        <v>31690.54</v>
      </c>
      <c r="D14" s="4" t="n">
        <v>0.930474</v>
      </c>
      <c r="E14" s="4" t="n">
        <v>0</v>
      </c>
    </row>
    <row r="15" customFormat="false" ht="15" hidden="false" customHeight="false" outlineLevel="0" collapsed="false">
      <c r="A15" s="4" t="s">
        <v>55</v>
      </c>
      <c r="B15" s="4" t="n">
        <v>7470941.45</v>
      </c>
      <c r="C15" s="4" t="n">
        <v>31377.95</v>
      </c>
      <c r="D15" s="4" t="n">
        <v>0.929409</v>
      </c>
      <c r="E15" s="4" t="n">
        <v>340.26</v>
      </c>
    </row>
    <row r="16" customFormat="false" ht="15" hidden="false" customHeight="false" outlineLevel="0" collapsed="false">
      <c r="A16" s="4" t="s">
        <v>56</v>
      </c>
      <c r="B16" s="4" t="n">
        <v>10121165.5</v>
      </c>
      <c r="C16" s="4" t="n">
        <v>42508.9</v>
      </c>
      <c r="D16" s="4" t="n">
        <v>0.911883</v>
      </c>
      <c r="E16" s="4" t="n">
        <v>8201.97</v>
      </c>
    </row>
    <row r="17" customFormat="false" ht="15" hidden="false" customHeight="false" outlineLevel="0" collapsed="false">
      <c r="A17" s="4" t="s">
        <v>57</v>
      </c>
      <c r="B17" s="4" t="n">
        <v>13093240.8</v>
      </c>
      <c r="C17" s="4" t="n">
        <v>54991.61</v>
      </c>
      <c r="D17" s="4" t="n">
        <v>0.894517</v>
      </c>
      <c r="E17" s="4" t="n">
        <v>17851.58</v>
      </c>
    </row>
    <row r="18" customFormat="false" ht="15" hidden="false" customHeight="false" outlineLevel="0" collapsed="false">
      <c r="A18" s="4" t="s">
        <v>58</v>
      </c>
      <c r="B18" s="4" t="n">
        <v>16286691.9</v>
      </c>
      <c r="C18" s="4" t="n">
        <v>68404.11</v>
      </c>
      <c r="D18" s="4" t="n">
        <v>0.894193</v>
      </c>
      <c r="E18" s="4" t="n">
        <v>21645.01</v>
      </c>
    </row>
    <row r="19" customFormat="false" ht="15" hidden="false" customHeight="false" outlineLevel="0" collapsed="false">
      <c r="A19" s="4" t="s">
        <v>59</v>
      </c>
      <c r="B19" s="4" t="n">
        <v>15675479.61</v>
      </c>
      <c r="C19" s="4" t="n">
        <v>65837.01</v>
      </c>
      <c r="D19" s="4" t="n">
        <v>0.893817</v>
      </c>
      <c r="E19" s="4" t="n">
        <v>21262.93</v>
      </c>
    </row>
    <row r="20" customFormat="false" ht="15" hidden="false" customHeight="false" outlineLevel="0" collapsed="false">
      <c r="A20" s="4" t="s">
        <v>60</v>
      </c>
      <c r="B20" s="4" t="n">
        <v>13695737.69</v>
      </c>
      <c r="C20" s="4" t="n">
        <v>57522.1</v>
      </c>
      <c r="D20" s="4" t="n">
        <v>0.894311</v>
      </c>
      <c r="E20" s="4" t="n">
        <v>18797.7</v>
      </c>
    </row>
    <row r="21" customFormat="false" ht="15" hidden="false" customHeight="false" outlineLevel="0" collapsed="false">
      <c r="A21" s="4" t="s">
        <v>61</v>
      </c>
      <c r="B21" s="4" t="n">
        <v>13095799.36</v>
      </c>
      <c r="C21" s="4" t="n">
        <v>55002.36</v>
      </c>
      <c r="D21" s="4" t="n">
        <v>0.895094</v>
      </c>
      <c r="E21" s="4" t="n">
        <v>17110.2</v>
      </c>
    </row>
    <row r="22" customFormat="false" ht="15" hidden="false" customHeight="false" outlineLevel="0" collapsed="false">
      <c r="A22" s="4" t="s">
        <v>62</v>
      </c>
      <c r="B22" s="4" t="n">
        <v>10755197.55</v>
      </c>
      <c r="C22" s="4" t="n">
        <v>45171.83</v>
      </c>
      <c r="D22" s="4" t="n">
        <v>0.911483</v>
      </c>
      <c r="E22" s="4" t="n">
        <v>9002.9</v>
      </c>
    </row>
    <row r="23" customFormat="false" ht="15" hidden="false" customHeight="false" outlineLevel="0" collapsed="false">
      <c r="A23" s="4" t="s">
        <v>63</v>
      </c>
      <c r="B23" s="4" t="n">
        <v>10313170.19</v>
      </c>
      <c r="C23" s="4" t="n">
        <v>43315.31</v>
      </c>
      <c r="D23" s="4" t="n">
        <v>0.929242</v>
      </c>
      <c r="E23" s="4" t="n">
        <v>552.88</v>
      </c>
    </row>
    <row r="24" customFormat="false" ht="15" hidden="false" customHeight="false" outlineLevel="0" collapsed="false">
      <c r="A24" s="4" t="s">
        <v>64</v>
      </c>
      <c r="B24" s="4" t="n">
        <v>9900677.01</v>
      </c>
      <c r="C24" s="4" t="n">
        <v>41582.84</v>
      </c>
      <c r="D24" s="4" t="n">
        <v>0.929125</v>
      </c>
      <c r="E24" s="4" t="n">
        <v>592.54</v>
      </c>
    </row>
    <row r="25" customFormat="false" ht="15" hidden="false" customHeight="false" outlineLevel="0" collapsed="false">
      <c r="A25" s="4" t="s">
        <v>65</v>
      </c>
      <c r="B25" s="4" t="n">
        <v>9908649.86</v>
      </c>
      <c r="C25" s="4" t="n">
        <v>41616.33</v>
      </c>
      <c r="D25" s="4" t="n">
        <v>0.929028</v>
      </c>
      <c r="E25" s="4" t="n">
        <v>657.56</v>
      </c>
    </row>
    <row r="26" customFormat="false" ht="15" hidden="false" customHeight="false" outlineLevel="0" collapsed="false">
      <c r="A26" s="4" t="s">
        <v>66</v>
      </c>
      <c r="B26" s="4" t="n">
        <v>9622151.33</v>
      </c>
      <c r="C26" s="4" t="n">
        <v>40413.04</v>
      </c>
      <c r="D26" s="4" t="n">
        <v>0.927942</v>
      </c>
      <c r="E26" s="4" t="n">
        <v>1176.18</v>
      </c>
    </row>
    <row r="27" customFormat="false" ht="15" hidden="false" customHeight="false" outlineLevel="0" collapsed="false">
      <c r="A27" s="4" t="s">
        <v>67</v>
      </c>
      <c r="B27" s="4" t="n">
        <v>9392415.26</v>
      </c>
      <c r="C27" s="4" t="n">
        <v>39448.14</v>
      </c>
      <c r="D27" s="4" t="n">
        <v>0.928306</v>
      </c>
      <c r="E27" s="4" t="n">
        <v>976.66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24"/>
    <col collapsed="false" customWidth="true" hidden="false" outlineLevel="0" max="7" min="7" style="0" width="18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7" t="s">
        <v>74</v>
      </c>
      <c r="B3" s="7" t="s">
        <v>109</v>
      </c>
      <c r="C3" s="7" t="s">
        <v>110</v>
      </c>
      <c r="D3" s="7" t="s">
        <v>111</v>
      </c>
      <c r="E3" s="7" t="s">
        <v>112</v>
      </c>
      <c r="F3" s="7" t="s">
        <v>113</v>
      </c>
      <c r="G3" s="7" t="s">
        <v>114</v>
      </c>
      <c r="H3" s="7" t="s">
        <v>115</v>
      </c>
    </row>
    <row r="4" customFormat="false" ht="15" hidden="false" customHeight="false" outlineLevel="0" collapsed="false">
      <c r="A4" s="4" t="s">
        <v>90</v>
      </c>
      <c r="B4" s="4" t="n">
        <v>0.871926</v>
      </c>
      <c r="C4" s="4" t="n">
        <v>0.190855</v>
      </c>
      <c r="D4" s="4" t="n">
        <v>-0.18614</v>
      </c>
      <c r="E4" s="4" t="n">
        <v>-0.212877</v>
      </c>
      <c r="F4" s="4" t="n">
        <v>68762990.79</v>
      </c>
      <c r="G4" s="4" t="n">
        <v>2</v>
      </c>
      <c r="H4" s="4" t="n">
        <v>1</v>
      </c>
    </row>
    <row r="5" customFormat="false" ht="15" hidden="false" customHeight="false" outlineLevel="0" collapsed="false">
      <c r="A5" s="4" t="s">
        <v>89</v>
      </c>
      <c r="B5" s="4" t="n">
        <v>0.84572</v>
      </c>
      <c r="C5" s="4" t="n">
        <v>0.046107</v>
      </c>
      <c r="D5" s="4" t="n">
        <v>-0.05435</v>
      </c>
      <c r="E5" s="4" t="n">
        <v>-0.023611</v>
      </c>
      <c r="F5" s="4" t="n">
        <v>18888168.38</v>
      </c>
      <c r="G5" s="4" t="n">
        <v>1</v>
      </c>
      <c r="H5" s="4" t="n">
        <v>2</v>
      </c>
    </row>
    <row r="6" customFormat="false" ht="15" hidden="false" customHeight="false" outlineLevel="0" collapsed="false">
      <c r="A6" s="4" t="s">
        <v>80</v>
      </c>
      <c r="B6" s="4" t="n">
        <v>0.946092</v>
      </c>
      <c r="C6" s="4" t="n">
        <v>0.092637</v>
      </c>
      <c r="D6" s="4" t="n">
        <v>-0.001994</v>
      </c>
      <c r="E6" s="4" t="n">
        <v>-0.001842</v>
      </c>
      <c r="F6" s="4" t="n">
        <v>14553055.19</v>
      </c>
      <c r="G6" s="4" t="n">
        <v>10</v>
      </c>
      <c r="H6" s="4" t="n">
        <v>3</v>
      </c>
    </row>
    <row r="7" customFormat="false" ht="15" hidden="false" customHeight="false" outlineLevel="0" collapsed="false">
      <c r="A7" s="4" t="s">
        <v>84</v>
      </c>
      <c r="B7" s="4" t="n">
        <v>0.955436</v>
      </c>
      <c r="C7" s="4" t="n">
        <v>0.114686</v>
      </c>
      <c r="D7" s="4" t="n">
        <v>-0.00246</v>
      </c>
      <c r="E7" s="4" t="n">
        <v>-0.001518</v>
      </c>
      <c r="F7" s="4" t="n">
        <v>15283578.03</v>
      </c>
      <c r="G7" s="4" t="n">
        <v>13</v>
      </c>
      <c r="H7" s="4" t="n">
        <v>4</v>
      </c>
    </row>
    <row r="8" customFormat="false" ht="15" hidden="false" customHeight="false" outlineLevel="0" collapsed="false">
      <c r="A8" s="4" t="s">
        <v>88</v>
      </c>
      <c r="B8" s="4" t="n">
        <v>0.904078</v>
      </c>
      <c r="C8" s="4" t="n">
        <v>0.076299</v>
      </c>
      <c r="D8" s="4" t="n">
        <v>-0.005334</v>
      </c>
      <c r="E8" s="4" t="n">
        <v>-0.001126</v>
      </c>
      <c r="F8" s="4" t="n">
        <v>20998821.23</v>
      </c>
      <c r="G8" s="4" t="n">
        <v>4</v>
      </c>
      <c r="H8" s="4" t="n">
        <v>5</v>
      </c>
    </row>
    <row r="9" customFormat="false" ht="15" hidden="false" customHeight="false" outlineLevel="0" collapsed="false">
      <c r="A9" s="4" t="s">
        <v>81</v>
      </c>
      <c r="B9" s="4" t="n">
        <v>0.910045</v>
      </c>
      <c r="C9" s="4" t="n">
        <v>0.057282</v>
      </c>
      <c r="D9" s="4" t="n">
        <v>-0.005804</v>
      </c>
      <c r="E9" s="4" t="n">
        <v>-0.000767</v>
      </c>
      <c r="F9" s="4" t="n">
        <v>14782425.54</v>
      </c>
      <c r="G9" s="4" t="n">
        <v>6</v>
      </c>
      <c r="H9" s="4" t="n">
        <v>6</v>
      </c>
    </row>
    <row r="10" customFormat="false" ht="15" hidden="false" customHeight="false" outlineLevel="0" collapsed="false">
      <c r="A10" s="4" t="s">
        <v>87</v>
      </c>
      <c r="B10" s="4" t="n">
        <v>0.935507</v>
      </c>
      <c r="C10" s="4" t="n">
        <v>0.02665</v>
      </c>
      <c r="D10" s="4" t="n">
        <v>-0.00595</v>
      </c>
      <c r="E10" s="4" t="n">
        <v>-0.000412</v>
      </c>
      <c r="F10" s="4" t="n">
        <v>4818405.82</v>
      </c>
      <c r="G10" s="4" t="n">
        <v>8</v>
      </c>
      <c r="H10" s="4" t="n">
        <v>7</v>
      </c>
    </row>
    <row r="11" customFormat="false" ht="15" hidden="false" customHeight="false" outlineLevel="0" collapsed="false">
      <c r="A11" s="4" t="s">
        <v>91</v>
      </c>
      <c r="B11" s="4" t="n">
        <v>0.900546</v>
      </c>
      <c r="C11" s="4" t="n">
        <v>0.045042</v>
      </c>
      <c r="D11" s="4" t="n">
        <v>-0.006059</v>
      </c>
      <c r="E11" s="4" t="n">
        <v>1.3E-005</v>
      </c>
      <c r="F11" s="4" t="n">
        <v>12026204.61</v>
      </c>
      <c r="G11" s="4" t="n">
        <v>3</v>
      </c>
      <c r="H11" s="4" t="n">
        <v>8</v>
      </c>
    </row>
    <row r="12" customFormat="false" ht="15" hidden="false" customHeight="false" outlineLevel="0" collapsed="false">
      <c r="A12" s="4" t="s">
        <v>85</v>
      </c>
      <c r="B12" s="4" t="n">
        <v>0.947429</v>
      </c>
      <c r="C12" s="4" t="n">
        <v>0.030262</v>
      </c>
      <c r="D12" s="4" t="n">
        <v>-0.005309</v>
      </c>
      <c r="E12" s="4" t="n">
        <v>0.000122</v>
      </c>
      <c r="F12" s="4" t="n">
        <v>4646031.63</v>
      </c>
      <c r="G12" s="4" t="n">
        <v>11</v>
      </c>
      <c r="H12" s="4" t="n">
        <v>9</v>
      </c>
    </row>
    <row r="13" customFormat="false" ht="15" hidden="false" customHeight="false" outlineLevel="0" collapsed="false">
      <c r="A13" s="4" t="s">
        <v>86</v>
      </c>
      <c r="B13" s="4" t="n">
        <v>0.952743</v>
      </c>
      <c r="C13" s="4" t="n">
        <v>0.060434</v>
      </c>
      <c r="D13" s="4" t="n">
        <v>-0.004169</v>
      </c>
      <c r="E13" s="4" t="n">
        <v>0.000191</v>
      </c>
      <c r="F13" s="4" t="n">
        <v>8153100.32</v>
      </c>
      <c r="G13" s="4" t="n">
        <v>12</v>
      </c>
      <c r="H13" s="4" t="n">
        <v>10</v>
      </c>
    </row>
    <row r="14" customFormat="false" ht="15" hidden="false" customHeight="false" outlineLevel="0" collapsed="false">
      <c r="A14" s="4" t="s">
        <v>79</v>
      </c>
      <c r="B14" s="4" t="n">
        <v>0.930204</v>
      </c>
      <c r="C14" s="4" t="n">
        <v>0.022381</v>
      </c>
      <c r="D14" s="4" t="n">
        <v>-0.004797</v>
      </c>
      <c r="E14" s="4" t="n">
        <v>0.000727</v>
      </c>
      <c r="F14" s="4" t="n">
        <v>4456462.01</v>
      </c>
      <c r="G14" s="4" t="n">
        <v>7</v>
      </c>
      <c r="H14" s="4" t="n">
        <v>11</v>
      </c>
    </row>
    <row r="15" customFormat="false" ht="15" hidden="false" customHeight="false" outlineLevel="0" collapsed="false">
      <c r="A15" s="4" t="s">
        <v>83</v>
      </c>
      <c r="B15" s="4" t="n">
        <v>0.95927</v>
      </c>
      <c r="C15" s="4" t="n">
        <v>0.150979</v>
      </c>
      <c r="D15" s="4" t="n">
        <v>-0.001702</v>
      </c>
      <c r="E15" s="4" t="n">
        <v>0.001108</v>
      </c>
      <c r="F15" s="4" t="n">
        <v>18380901.14</v>
      </c>
      <c r="G15" s="4" t="n">
        <v>14</v>
      </c>
      <c r="H15" s="4" t="n">
        <v>12</v>
      </c>
    </row>
    <row r="16" customFormat="false" ht="15" hidden="false" customHeight="false" outlineLevel="0" collapsed="false">
      <c r="A16" s="4" t="s">
        <v>82</v>
      </c>
      <c r="B16" s="4" t="n">
        <v>0.907781</v>
      </c>
      <c r="C16" s="4" t="n">
        <v>0.048555</v>
      </c>
      <c r="D16" s="4" t="n">
        <v>-0.00404</v>
      </c>
      <c r="E16" s="4" t="n">
        <v>0.001385</v>
      </c>
      <c r="F16" s="4" t="n">
        <v>12590867.79</v>
      </c>
      <c r="G16" s="4" t="n">
        <v>5</v>
      </c>
      <c r="H16" s="4" t="n">
        <v>13</v>
      </c>
    </row>
    <row r="17" customFormat="false" ht="15" hidden="false" customHeight="false" outlineLevel="0" collapsed="false">
      <c r="A17" s="4" t="s">
        <v>92</v>
      </c>
      <c r="B17" s="4" t="n">
        <v>0.940534</v>
      </c>
      <c r="C17" s="4" t="n">
        <v>0.037832</v>
      </c>
      <c r="D17" s="4" t="n">
        <v>-0.001881</v>
      </c>
      <c r="E17" s="4" t="n">
        <v>0.001482</v>
      </c>
      <c r="F17" s="4" t="n">
        <v>6372706.42</v>
      </c>
      <c r="G17" s="4" t="n">
        <v>9</v>
      </c>
      <c r="H17" s="4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7" t="s">
        <v>116</v>
      </c>
      <c r="B3" s="7" t="s">
        <v>117</v>
      </c>
      <c r="C3" s="7" t="s">
        <v>118</v>
      </c>
      <c r="D3" s="7" t="s">
        <v>99</v>
      </c>
      <c r="E3" s="7" t="s">
        <v>119</v>
      </c>
      <c r="F3" s="7" t="s">
        <v>120</v>
      </c>
      <c r="G3" s="7" t="s">
        <v>121</v>
      </c>
    </row>
    <row r="4" customFormat="false" ht="15" hidden="false" customHeight="false" outlineLevel="0" collapsed="false">
      <c r="A4" s="4" t="n">
        <v>1</v>
      </c>
      <c r="B4" s="4" t="n">
        <v>0</v>
      </c>
      <c r="C4" s="4" t="n">
        <v>0.0631</v>
      </c>
      <c r="D4" s="4" t="n">
        <v>300</v>
      </c>
      <c r="E4" s="4" t="n">
        <v>0.14</v>
      </c>
      <c r="F4" s="4" t="n">
        <v>0.0867</v>
      </c>
      <c r="G4" s="4" t="n">
        <v>0.928</v>
      </c>
    </row>
    <row r="5" customFormat="false" ht="15" hidden="false" customHeight="false" outlineLevel="0" collapsed="false">
      <c r="A5" s="4" t="n">
        <v>2</v>
      </c>
      <c r="B5" s="4" t="n">
        <v>0.0631</v>
      </c>
      <c r="C5" s="4" t="n">
        <v>0.0997</v>
      </c>
      <c r="D5" s="4" t="n">
        <v>300</v>
      </c>
      <c r="E5" s="4" t="n">
        <v>0.1467</v>
      </c>
      <c r="F5" s="4" t="n">
        <v>0.2667</v>
      </c>
      <c r="G5" s="4" t="n">
        <v>0.9149</v>
      </c>
    </row>
    <row r="6" customFormat="false" ht="15" hidden="false" customHeight="false" outlineLevel="0" collapsed="false">
      <c r="A6" s="4" t="n">
        <v>3</v>
      </c>
      <c r="B6" s="4" t="n">
        <v>0.0997</v>
      </c>
      <c r="C6" s="4" t="n">
        <v>0.1292</v>
      </c>
      <c r="D6" s="4" t="n">
        <v>300</v>
      </c>
      <c r="E6" s="4" t="n">
        <v>0.16</v>
      </c>
      <c r="F6" s="4" t="n">
        <v>0.3233</v>
      </c>
      <c r="G6" s="4" t="n">
        <v>0.9075</v>
      </c>
    </row>
    <row r="7" customFormat="false" ht="15" hidden="false" customHeight="false" outlineLevel="0" collapsed="false">
      <c r="A7" s="4" t="n">
        <v>4</v>
      </c>
      <c r="B7" s="4" t="n">
        <v>0.1292</v>
      </c>
      <c r="C7" s="4" t="n">
        <v>0.1569</v>
      </c>
      <c r="D7" s="4" t="n">
        <v>299</v>
      </c>
      <c r="E7" s="4" t="n">
        <v>0.1739</v>
      </c>
      <c r="F7" s="4" t="n">
        <v>0.3645</v>
      </c>
      <c r="G7" s="4" t="n">
        <v>0.9015</v>
      </c>
    </row>
    <row r="8" customFormat="false" ht="15" hidden="false" customHeight="false" outlineLevel="0" collapsed="false">
      <c r="A8" s="4" t="n">
        <v>5</v>
      </c>
      <c r="B8" s="4" t="n">
        <v>0.1569</v>
      </c>
      <c r="C8" s="4" t="n">
        <v>0.1847</v>
      </c>
      <c r="D8" s="4" t="n">
        <v>299</v>
      </c>
      <c r="E8" s="4" t="n">
        <v>0.1538</v>
      </c>
      <c r="F8" s="4" t="n">
        <v>0.4114</v>
      </c>
      <c r="G8" s="4" t="n">
        <v>0.8946</v>
      </c>
    </row>
    <row r="9" customFormat="false" ht="15" hidden="false" customHeight="false" outlineLevel="0" collapsed="false">
      <c r="A9" s="4" t="n">
        <v>6</v>
      </c>
      <c r="B9" s="4" t="n">
        <v>0.185</v>
      </c>
      <c r="C9" s="4" t="n">
        <v>0.2157</v>
      </c>
      <c r="D9" s="4" t="n">
        <v>299</v>
      </c>
      <c r="E9" s="4" t="n">
        <v>0.1505</v>
      </c>
      <c r="F9" s="4" t="n">
        <v>0.4983</v>
      </c>
      <c r="G9" s="4" t="n">
        <v>0.8867</v>
      </c>
    </row>
    <row r="10" customFormat="false" ht="15" hidden="false" customHeight="false" outlineLevel="0" collapsed="false">
      <c r="A10" s="4" t="n">
        <v>7</v>
      </c>
      <c r="B10" s="4" t="n">
        <v>0.2157</v>
      </c>
      <c r="C10" s="4" t="n">
        <v>0.254</v>
      </c>
      <c r="D10" s="4" t="n">
        <v>299</v>
      </c>
      <c r="E10" s="4" t="n">
        <v>0.1472</v>
      </c>
      <c r="F10" s="4" t="n">
        <v>0.5619</v>
      </c>
      <c r="G10" s="4" t="n">
        <v>0.8806</v>
      </c>
    </row>
    <row r="11" customFormat="false" ht="15" hidden="false" customHeight="false" outlineLevel="0" collapsed="false">
      <c r="A11" s="4" t="n">
        <v>8</v>
      </c>
      <c r="B11" s="4" t="n">
        <v>0.254</v>
      </c>
      <c r="C11" s="4" t="n">
        <v>0.2972</v>
      </c>
      <c r="D11" s="4" t="n">
        <v>299</v>
      </c>
      <c r="E11" s="4" t="n">
        <v>0.1806</v>
      </c>
      <c r="F11" s="4" t="n">
        <v>0.5987</v>
      </c>
      <c r="G11" s="4" t="n">
        <v>0.8717</v>
      </c>
    </row>
    <row r="12" customFormat="false" ht="15" hidden="false" customHeight="false" outlineLevel="0" collapsed="false">
      <c r="A12" s="4" t="n">
        <v>9</v>
      </c>
      <c r="B12" s="4" t="n">
        <v>0.2974</v>
      </c>
      <c r="C12" s="4" t="n">
        <v>0.363</v>
      </c>
      <c r="D12" s="4" t="n">
        <v>299</v>
      </c>
      <c r="E12" s="4" t="n">
        <v>0.1706</v>
      </c>
      <c r="F12" s="4" t="n">
        <v>0.6689</v>
      </c>
      <c r="G12" s="4" t="n">
        <v>0.867</v>
      </c>
    </row>
    <row r="13" customFormat="false" ht="15" hidden="false" customHeight="false" outlineLevel="0" collapsed="false">
      <c r="A13" s="4" t="n">
        <v>10</v>
      </c>
      <c r="B13" s="4" t="n">
        <v>0.3634</v>
      </c>
      <c r="C13" s="4" t="n">
        <v>0.7732</v>
      </c>
      <c r="D13" s="4" t="n">
        <v>299</v>
      </c>
      <c r="E13" s="4" t="n">
        <v>0.194</v>
      </c>
      <c r="F13" s="4" t="n">
        <v>0.7358</v>
      </c>
      <c r="G13" s="4" t="n">
        <v>0.847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15" hidden="false" customHeight="false" outlineLevel="0" collapsed="false">
      <c r="A3" s="7" t="s">
        <v>68</v>
      </c>
      <c r="B3" s="7" t="s">
        <v>71</v>
      </c>
      <c r="C3" s="7" t="s">
        <v>122</v>
      </c>
      <c r="D3" s="7" t="s">
        <v>123</v>
      </c>
    </row>
    <row r="4" customFormat="false" ht="15" hidden="false" customHeight="false" outlineLevel="0" collapsed="false">
      <c r="A4" s="4" t="s">
        <v>44</v>
      </c>
      <c r="B4" s="4" t="n">
        <v>3338</v>
      </c>
      <c r="C4" s="4" t="n">
        <v>0.7909</v>
      </c>
      <c r="D4" s="4" t="n">
        <v>1.6787</v>
      </c>
    </row>
    <row r="5" customFormat="false" ht="15" hidden="false" customHeight="false" outlineLevel="0" collapsed="false">
      <c r="A5" s="4" t="s">
        <v>45</v>
      </c>
      <c r="B5" s="4" t="n">
        <v>174</v>
      </c>
      <c r="C5" s="4" t="n">
        <v>0.7299</v>
      </c>
      <c r="D5" s="4" t="n">
        <v>1.2905</v>
      </c>
    </row>
    <row r="6" customFormat="false" ht="15" hidden="false" customHeight="false" outlineLevel="0" collapsed="false">
      <c r="A6" s="4" t="s">
        <v>46</v>
      </c>
      <c r="B6" s="4" t="n">
        <v>134</v>
      </c>
      <c r="C6" s="4" t="n">
        <v>0.7836</v>
      </c>
      <c r="D6" s="4" t="n">
        <v>1.2432</v>
      </c>
    </row>
    <row r="7" customFormat="false" ht="15" hidden="false" customHeight="false" outlineLevel="0" collapsed="false">
      <c r="A7" s="4" t="s">
        <v>47</v>
      </c>
      <c r="B7" s="4" t="n">
        <v>137</v>
      </c>
      <c r="C7" s="4" t="n">
        <v>0.7153</v>
      </c>
      <c r="D7" s="4" t="n">
        <v>1.0361</v>
      </c>
    </row>
    <row r="8" customFormat="false" ht="15" hidden="false" customHeight="false" outlineLevel="0" collapsed="false">
      <c r="A8" s="4" t="s">
        <v>48</v>
      </c>
      <c r="B8" s="4" t="n">
        <v>143</v>
      </c>
      <c r="C8" s="4" t="n">
        <v>0.7692</v>
      </c>
      <c r="D8" s="4" t="n">
        <v>1.4333</v>
      </c>
    </row>
    <row r="9" customFormat="false" ht="15" hidden="false" customHeight="false" outlineLevel="0" collapsed="false">
      <c r="A9" s="4" t="s">
        <v>49</v>
      </c>
      <c r="B9" s="4" t="n">
        <v>127</v>
      </c>
      <c r="C9" s="4" t="n">
        <v>0.7244</v>
      </c>
      <c r="D9" s="4" t="n">
        <v>1.2494</v>
      </c>
    </row>
    <row r="10" customFormat="false" ht="15" hidden="false" customHeight="false" outlineLevel="0" collapsed="false">
      <c r="A10" s="4" t="s">
        <v>50</v>
      </c>
      <c r="B10" s="4" t="n">
        <v>127</v>
      </c>
      <c r="C10" s="4" t="n">
        <v>0.7953</v>
      </c>
      <c r="D10" s="4" t="n">
        <v>1.3459</v>
      </c>
    </row>
    <row r="11" customFormat="false" ht="15" hidden="false" customHeight="false" outlineLevel="0" collapsed="false">
      <c r="A11" s="4" t="s">
        <v>51</v>
      </c>
      <c r="B11" s="4" t="n">
        <v>128</v>
      </c>
      <c r="C11" s="4" t="n">
        <v>0.8047</v>
      </c>
      <c r="D11" s="4" t="n">
        <v>1.2399</v>
      </c>
    </row>
    <row r="12" customFormat="false" ht="15" hidden="false" customHeight="false" outlineLevel="0" collapsed="false">
      <c r="A12" s="4" t="s">
        <v>52</v>
      </c>
      <c r="B12" s="4" t="n">
        <v>121</v>
      </c>
      <c r="C12" s="4" t="n">
        <v>0.8182</v>
      </c>
      <c r="D12" s="4" t="n">
        <v>1.3705</v>
      </c>
    </row>
    <row r="13" customFormat="false" ht="15" hidden="false" customHeight="false" outlineLevel="0" collapsed="false">
      <c r="A13" s="4" t="s">
        <v>53</v>
      </c>
      <c r="B13" s="4" t="n">
        <v>127</v>
      </c>
      <c r="C13" s="4" t="n">
        <v>0.7795</v>
      </c>
      <c r="D13" s="4" t="n">
        <v>1.3023</v>
      </c>
    </row>
    <row r="14" customFormat="false" ht="15" hidden="false" customHeight="false" outlineLevel="0" collapsed="false">
      <c r="A14" s="4" t="s">
        <v>54</v>
      </c>
      <c r="B14" s="4" t="n">
        <v>136</v>
      </c>
      <c r="C14" s="4" t="n">
        <v>0.7426</v>
      </c>
      <c r="D14" s="4" t="n">
        <v>1.2814</v>
      </c>
    </row>
    <row r="15" customFormat="false" ht="15" hidden="false" customHeight="false" outlineLevel="0" collapsed="false">
      <c r="A15" s="4" t="s">
        <v>55</v>
      </c>
      <c r="B15" s="4" t="n">
        <v>127</v>
      </c>
      <c r="C15" s="4" t="n">
        <v>0.7638</v>
      </c>
      <c r="D15" s="4" t="n">
        <v>1.8234</v>
      </c>
    </row>
    <row r="16" customFormat="false" ht="15" hidden="false" customHeight="false" outlineLevel="0" collapsed="false">
      <c r="A16" s="4" t="s">
        <v>56</v>
      </c>
      <c r="B16" s="4" t="n">
        <v>118</v>
      </c>
      <c r="C16" s="4" t="n">
        <v>0.7288</v>
      </c>
      <c r="D16" s="4" t="n">
        <v>1.5462</v>
      </c>
    </row>
    <row r="17" customFormat="false" ht="15" hidden="false" customHeight="false" outlineLevel="0" collapsed="false">
      <c r="A17" s="4" t="s">
        <v>57</v>
      </c>
      <c r="B17" s="4" t="n">
        <v>109</v>
      </c>
      <c r="C17" s="4" t="n">
        <v>0.7615</v>
      </c>
      <c r="D17" s="4" t="n">
        <v>1.4775</v>
      </c>
    </row>
    <row r="18" customFormat="false" ht="15" hidden="false" customHeight="false" outlineLevel="0" collapsed="false">
      <c r="A18" s="4" t="s">
        <v>58</v>
      </c>
      <c r="B18" s="4" t="n">
        <v>108</v>
      </c>
      <c r="C18" s="4" t="n">
        <v>0.7222</v>
      </c>
      <c r="D18" s="4" t="n">
        <v>0.8987</v>
      </c>
    </row>
    <row r="19" customFormat="false" ht="15" hidden="false" customHeight="false" outlineLevel="0" collapsed="false">
      <c r="A19" s="4" t="s">
        <v>59</v>
      </c>
      <c r="B19" s="4" t="n">
        <v>123</v>
      </c>
      <c r="C19" s="4" t="n">
        <v>0.748</v>
      </c>
      <c r="D19" s="4" t="n">
        <v>1.1224</v>
      </c>
    </row>
    <row r="20" customFormat="false" ht="15" hidden="false" customHeight="false" outlineLevel="0" collapsed="false">
      <c r="A20" s="4" t="s">
        <v>60</v>
      </c>
      <c r="B20" s="4" t="n">
        <v>108</v>
      </c>
      <c r="C20" s="4" t="n">
        <v>0.7963</v>
      </c>
      <c r="D20" s="4" t="n">
        <v>1.5096</v>
      </c>
    </row>
    <row r="21" customFormat="false" ht="15" hidden="false" customHeight="false" outlineLevel="0" collapsed="false">
      <c r="A21" s="4" t="s">
        <v>61</v>
      </c>
      <c r="B21" s="4" t="n">
        <v>143</v>
      </c>
      <c r="C21" s="4" t="n">
        <v>0.7762</v>
      </c>
      <c r="D21" s="4" t="n">
        <v>1.2553</v>
      </c>
    </row>
    <row r="22" customFormat="false" ht="15" hidden="false" customHeight="false" outlineLevel="0" collapsed="false">
      <c r="A22" s="4" t="s">
        <v>62</v>
      </c>
      <c r="B22" s="4" t="n">
        <v>126</v>
      </c>
      <c r="C22" s="4" t="n">
        <v>0.7937</v>
      </c>
      <c r="D22" s="4" t="n">
        <v>1.596</v>
      </c>
    </row>
    <row r="23" customFormat="false" ht="15" hidden="false" customHeight="false" outlineLevel="0" collapsed="false">
      <c r="A23" s="4" t="s">
        <v>63</v>
      </c>
      <c r="B23" s="4" t="n">
        <v>108</v>
      </c>
      <c r="C23" s="4" t="n">
        <v>0.8981</v>
      </c>
      <c r="D23" s="4" t="n">
        <v>1.2342</v>
      </c>
    </row>
    <row r="24" customFormat="false" ht="15" hidden="false" customHeight="false" outlineLevel="0" collapsed="false">
      <c r="A24" s="4" t="s">
        <v>64</v>
      </c>
      <c r="B24" s="4" t="n">
        <v>109</v>
      </c>
      <c r="C24" s="4" t="n">
        <v>0.789</v>
      </c>
      <c r="D24" s="4" t="n">
        <v>1.2586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2026-08-12T20:53:55Z</dcterms:created>
  <dc:creator>openpyxl</dc:creator>
  <dc:description/>
  <dc:language>en-US</dc:language>
  <cp:lastModifiedBy/>
  <dcterms:modified xsi:type="dcterms:W3CDTF">2026-08-12T20:53:56Z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